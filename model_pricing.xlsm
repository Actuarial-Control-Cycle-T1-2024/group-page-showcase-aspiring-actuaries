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sw.sharepoint.com/sites/ControlCycle2k24/Shared Documents/General/Excel Assignment/"/>
    </mc:Choice>
  </mc:AlternateContent>
  <xr:revisionPtr revIDLastSave="50211" documentId="8_{BF2BD10D-BB45-154D-B2FF-7D88E42AE793}" xr6:coauthVersionLast="47" xr6:coauthVersionMax="47" xr10:uidLastSave="{69CD21E0-79BC-4752-8A5C-F2521EF55596}"/>
  <bookViews>
    <workbookView xWindow="-120" yWindow="-120" windowWidth="29040" windowHeight="15720" activeTab="2" xr2:uid="{F8FAED87-D805-4A4D-A726-6249F1B0C610}"/>
  </bookViews>
  <sheets>
    <sheet name="Table of Contents" sheetId="3" r:id="rId1"/>
    <sheet name="Inputs &amp; Results" sheetId="2" r:id="rId2"/>
    <sheet name="Sensitivity" sheetId="10" r:id="rId3"/>
    <sheet name="Interest Rates" sheetId="1" r:id="rId4"/>
    <sheet name="Mortality Rates" sheetId="4" r:id="rId5"/>
    <sheet name="Lapse Rates" sheetId="5" r:id="rId6"/>
    <sheet name="T20" sheetId="6" r:id="rId7"/>
    <sheet name="SPWL" sheetId="7" r:id="rId8"/>
    <sheet name="Premiums" sheetId="9" r:id="rId9"/>
  </sheets>
  <definedNames>
    <definedName name="_xlnm._FilterDatabase" localSheetId="3" hidden="1">'Interest Rates'!$G$4:$J$15</definedName>
  </definedNames>
  <calcPr calcId="191028" calcMode="manual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5" i="10" l="1"/>
  <c r="C86" i="9"/>
  <c r="C85" i="9"/>
  <c r="B6" i="5"/>
  <c r="C6" i="5"/>
  <c r="D6" i="5"/>
  <c r="B7" i="5"/>
  <c r="C7" i="5"/>
  <c r="D7" i="5"/>
  <c r="B8" i="5"/>
  <c r="C8" i="5"/>
  <c r="D8" i="5"/>
  <c r="B9" i="5"/>
  <c r="C9" i="5"/>
  <c r="D9" i="5"/>
  <c r="B10" i="5"/>
  <c r="C10" i="5"/>
  <c r="D10" i="5"/>
  <c r="B11" i="5"/>
  <c r="C11" i="5"/>
  <c r="D11" i="5"/>
  <c r="B12" i="5"/>
  <c r="C12" i="5"/>
  <c r="D12" i="5"/>
  <c r="B13" i="5"/>
  <c r="C13" i="5"/>
  <c r="D13" i="5"/>
  <c r="B14" i="5"/>
  <c r="C14" i="5"/>
  <c r="D14" i="5"/>
  <c r="B15" i="5"/>
  <c r="C15" i="5"/>
  <c r="D15" i="5"/>
  <c r="B16" i="5"/>
  <c r="C16" i="5"/>
  <c r="D16" i="5"/>
  <c r="B17" i="5"/>
  <c r="C17" i="5"/>
  <c r="D17" i="5"/>
  <c r="B18" i="5"/>
  <c r="C18" i="5"/>
  <c r="D18" i="5"/>
  <c r="B19" i="5"/>
  <c r="C19" i="5"/>
  <c r="D19" i="5"/>
  <c r="B20" i="5"/>
  <c r="C20" i="5"/>
  <c r="D20" i="5"/>
  <c r="B21" i="5"/>
  <c r="C21" i="5"/>
  <c r="D21" i="5"/>
  <c r="B22" i="5"/>
  <c r="C22" i="5"/>
  <c r="D22" i="5"/>
  <c r="B23" i="5"/>
  <c r="C23" i="5"/>
  <c r="D23" i="5"/>
  <c r="B24" i="5"/>
  <c r="C24" i="5"/>
  <c r="D24" i="5"/>
  <c r="C5" i="5"/>
  <c r="D5" i="5"/>
  <c r="B5" i="5"/>
  <c r="D85" i="9" l="1"/>
  <c r="C87" i="9"/>
  <c r="D87" i="9" s="1"/>
  <c r="N79" i="9"/>
  <c r="C31" i="2" s="1"/>
  <c r="C81" i="9"/>
  <c r="C35" i="2" s="1"/>
  <c r="P79" i="9"/>
  <c r="C32" i="2" s="1"/>
  <c r="H79" i="9"/>
  <c r="C27" i="2" s="1"/>
  <c r="J79" i="9"/>
  <c r="C28" i="2" s="1"/>
  <c r="C82" i="9"/>
  <c r="C36" i="2" s="1"/>
  <c r="O79" i="9"/>
  <c r="B32" i="2" s="1"/>
  <c r="M79" i="9"/>
  <c r="B31" i="2" s="1"/>
  <c r="I79" i="9"/>
  <c r="B28" i="2" s="1"/>
  <c r="G79" i="9"/>
  <c r="B27" i="2" s="1"/>
  <c r="M3" i="4"/>
  <c r="L3" i="4"/>
  <c r="K3" i="4"/>
  <c r="K26" i="4" s="1"/>
  <c r="B15" i="2"/>
  <c r="B22" i="6" s="1"/>
  <c r="B14" i="2"/>
  <c r="B19" i="7" s="1"/>
  <c r="B13" i="2"/>
  <c r="B18" i="7" s="1"/>
  <c r="L16" i="4"/>
  <c r="M17" i="4"/>
  <c r="M78" i="4"/>
  <c r="H5" i="6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5" i="6"/>
  <c r="F5" i="6" s="1"/>
  <c r="H91" i="7"/>
  <c r="M91" i="7"/>
  <c r="H92" i="7"/>
  <c r="M92" i="7"/>
  <c r="H93" i="7"/>
  <c r="M93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5" i="7"/>
  <c r="AH5" i="7" s="1"/>
  <c r="AG6" i="7" s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5" i="6"/>
  <c r="AN5" i="6" s="1"/>
  <c r="N5" i="7"/>
  <c r="R5" i="6"/>
  <c r="E5" i="7"/>
  <c r="C73" i="9"/>
  <c r="C74" i="9" s="1"/>
  <c r="C75" i="9" s="1"/>
  <c r="C76" i="9" s="1"/>
  <c r="C77" i="9" s="1"/>
  <c r="C67" i="9"/>
  <c r="C68" i="9" s="1"/>
  <c r="C69" i="9" s="1"/>
  <c r="C70" i="9" s="1"/>
  <c r="C71" i="9" s="1"/>
  <c r="C61" i="9"/>
  <c r="C62" i="9" s="1"/>
  <c r="C63" i="9" s="1"/>
  <c r="C64" i="9" s="1"/>
  <c r="C65" i="9" s="1"/>
  <c r="C55" i="9"/>
  <c r="C56" i="9" s="1"/>
  <c r="C57" i="9" s="1"/>
  <c r="C58" i="9" s="1"/>
  <c r="C59" i="9" s="1"/>
  <c r="C49" i="9"/>
  <c r="C50" i="9" s="1"/>
  <c r="C51" i="9" s="1"/>
  <c r="C52" i="9" s="1"/>
  <c r="C53" i="9" s="1"/>
  <c r="C43" i="9"/>
  <c r="C44" i="9" s="1"/>
  <c r="C45" i="9" s="1"/>
  <c r="C46" i="9" s="1"/>
  <c r="C47" i="9" s="1"/>
  <c r="C37" i="9"/>
  <c r="C38" i="9" s="1"/>
  <c r="C39" i="9" s="1"/>
  <c r="C40" i="9" s="1"/>
  <c r="C41" i="9" s="1"/>
  <c r="C31" i="9"/>
  <c r="C32" i="9" s="1"/>
  <c r="C33" i="9" s="1"/>
  <c r="C34" i="9" s="1"/>
  <c r="C35" i="9" s="1"/>
  <c r="C25" i="9"/>
  <c r="C26" i="9" s="1"/>
  <c r="C27" i="9" s="1"/>
  <c r="C28" i="9" s="1"/>
  <c r="C29" i="9" s="1"/>
  <c r="C19" i="9"/>
  <c r="C20" i="9" s="1"/>
  <c r="C21" i="9" s="1"/>
  <c r="C22" i="9" s="1"/>
  <c r="C23" i="9" s="1"/>
  <c r="C13" i="9"/>
  <c r="C14" i="9" s="1"/>
  <c r="C15" i="9" s="1"/>
  <c r="C16" i="9" s="1"/>
  <c r="C17" i="9" s="1"/>
  <c r="C7" i="9"/>
  <c r="C8" i="9" s="1"/>
  <c r="C9" i="9" s="1"/>
  <c r="C10" i="9" s="1"/>
  <c r="C11" i="9" s="1"/>
  <c r="D86" i="9" l="1"/>
  <c r="M89" i="4"/>
  <c r="L89" i="4"/>
  <c r="K89" i="4"/>
  <c r="M88" i="4"/>
  <c r="L75" i="4"/>
  <c r="M18" i="4"/>
  <c r="L74" i="4"/>
  <c r="K74" i="4"/>
  <c r="L18" i="4"/>
  <c r="M64" i="4"/>
  <c r="L64" i="4"/>
  <c r="K64" i="4"/>
  <c r="K60" i="4"/>
  <c r="M50" i="4"/>
  <c r="L50" i="4"/>
  <c r="K50" i="4"/>
  <c r="M49" i="4"/>
  <c r="M36" i="4"/>
  <c r="L36" i="4"/>
  <c r="K36" i="4"/>
  <c r="M35" i="4"/>
  <c r="B36" i="2"/>
  <c r="B35" i="2"/>
  <c r="L35" i="4"/>
  <c r="K87" i="4"/>
  <c r="K45" i="4"/>
  <c r="M14" i="4"/>
  <c r="M72" i="4"/>
  <c r="M58" i="4"/>
  <c r="M29" i="4"/>
  <c r="L14" i="4"/>
  <c r="L86" i="4"/>
  <c r="L58" i="4"/>
  <c r="M13" i="4"/>
  <c r="K86" i="4"/>
  <c r="K58" i="4"/>
  <c r="M28" i="4"/>
  <c r="M82" i="4"/>
  <c r="K96" i="4"/>
  <c r="K82" i="4"/>
  <c r="L67" i="4"/>
  <c r="K57" i="4"/>
  <c r="K43" i="4"/>
  <c r="L27" i="4"/>
  <c r="K6" i="4"/>
  <c r="M87" i="4"/>
  <c r="L15" i="4"/>
  <c r="K73" i="4"/>
  <c r="L44" i="4"/>
  <c r="L9" i="4"/>
  <c r="M43" i="4"/>
  <c r="M24" i="4"/>
  <c r="K38" i="4"/>
  <c r="M79" i="4"/>
  <c r="L93" i="4"/>
  <c r="L79" i="4"/>
  <c r="L65" i="4"/>
  <c r="L51" i="4"/>
  <c r="L37" i="4"/>
  <c r="M19" i="4"/>
  <c r="M7" i="4"/>
  <c r="M9" i="4"/>
  <c r="L20" i="4"/>
  <c r="L30" i="4"/>
  <c r="L38" i="4"/>
  <c r="M45" i="4"/>
  <c r="K53" i="4"/>
  <c r="L60" i="4"/>
  <c r="M67" i="4"/>
  <c r="M75" i="4"/>
  <c r="K83" i="4"/>
  <c r="L90" i="4"/>
  <c r="M97" i="4"/>
  <c r="L10" i="4"/>
  <c r="M30" i="4"/>
  <c r="M38" i="4"/>
  <c r="K46" i="4"/>
  <c r="L53" i="4"/>
  <c r="M60" i="4"/>
  <c r="M68" i="4"/>
  <c r="K76" i="4"/>
  <c r="M90" i="4"/>
  <c r="K98" i="4"/>
  <c r="K21" i="4"/>
  <c r="M53" i="4"/>
  <c r="K61" i="4"/>
  <c r="L76" i="4"/>
  <c r="M83" i="4"/>
  <c r="K91" i="4"/>
  <c r="L98" i="4"/>
  <c r="L11" i="4"/>
  <c r="L21" i="4"/>
  <c r="M31" i="4"/>
  <c r="L39" i="4"/>
  <c r="K54" i="4"/>
  <c r="K62" i="4"/>
  <c r="L69" i="4"/>
  <c r="M76" i="4"/>
  <c r="K84" i="4"/>
  <c r="L91" i="4"/>
  <c r="M98" i="4"/>
  <c r="M21" i="4"/>
  <c r="M39" i="4"/>
  <c r="K47" i="4"/>
  <c r="L54" i="4"/>
  <c r="K77" i="4"/>
  <c r="L84" i="4"/>
  <c r="M91" i="4"/>
  <c r="L6" i="4"/>
  <c r="M84" i="4"/>
  <c r="M40" i="4"/>
  <c r="M70" i="4"/>
  <c r="L85" i="4"/>
  <c r="K32" i="4"/>
  <c r="M23" i="4"/>
  <c r="M33" i="4"/>
  <c r="K41" i="4"/>
  <c r="K49" i="4"/>
  <c r="L56" i="4"/>
  <c r="K71" i="4"/>
  <c r="L78" i="4"/>
  <c r="M85" i="4"/>
  <c r="M20" i="4"/>
  <c r="L83" i="4"/>
  <c r="M11" i="4"/>
  <c r="M69" i="4"/>
  <c r="L12" i="4"/>
  <c r="M32" i="4"/>
  <c r="L47" i="4"/>
  <c r="M62" i="4"/>
  <c r="L77" i="4"/>
  <c r="M6" i="4"/>
  <c r="K13" i="4"/>
  <c r="L33" i="4"/>
  <c r="L63" i="4"/>
  <c r="M92" i="4"/>
  <c r="M63" i="4"/>
  <c r="M10" i="4"/>
  <c r="L31" i="4"/>
  <c r="K39" i="4"/>
  <c r="L46" i="4"/>
  <c r="K69" i="4"/>
  <c r="M46" i="4"/>
  <c r="L32" i="4"/>
  <c r="L62" i="4"/>
  <c r="L22" i="4"/>
  <c r="K40" i="4"/>
  <c r="L55" i="4"/>
  <c r="K70" i="4"/>
  <c r="K92" i="4"/>
  <c r="L23" i="4"/>
  <c r="M48" i="4"/>
  <c r="K78" i="4"/>
  <c r="M12" i="4"/>
  <c r="M22" i="4"/>
  <c r="K33" i="4"/>
  <c r="L40" i="4"/>
  <c r="M47" i="4"/>
  <c r="M55" i="4"/>
  <c r="K63" i="4"/>
  <c r="L70" i="4"/>
  <c r="M77" i="4"/>
  <c r="K85" i="4"/>
  <c r="L92" i="4"/>
  <c r="K19" i="4"/>
  <c r="K56" i="4"/>
  <c r="L13" i="4"/>
  <c r="K93" i="4"/>
  <c r="M73" i="4"/>
  <c r="M59" i="4"/>
  <c r="L49" i="4"/>
  <c r="M15" i="4"/>
  <c r="L87" i="4"/>
  <c r="L73" i="4"/>
  <c r="L59" i="4"/>
  <c r="L45" i="4"/>
  <c r="L34" i="4"/>
  <c r="K59" i="4"/>
  <c r="K34" i="4"/>
  <c r="M86" i="4"/>
  <c r="M44" i="4"/>
  <c r="L97" i="4"/>
  <c r="L72" i="4"/>
  <c r="L29" i="4"/>
  <c r="K97" i="4"/>
  <c r="K72" i="4"/>
  <c r="K44" i="4"/>
  <c r="M96" i="4"/>
  <c r="M71" i="4"/>
  <c r="M57" i="4"/>
  <c r="L28" i="4"/>
  <c r="L8" i="4"/>
  <c r="L96" i="4"/>
  <c r="L82" i="4"/>
  <c r="L71" i="4"/>
  <c r="L57" i="4"/>
  <c r="L43" i="4"/>
  <c r="M27" i="4"/>
  <c r="L7" i="4"/>
  <c r="M95" i="4"/>
  <c r="K81" i="4"/>
  <c r="K67" i="4"/>
  <c r="M56" i="4"/>
  <c r="M42" i="4"/>
  <c r="M26" i="4"/>
  <c r="K9" i="4"/>
  <c r="L95" i="4"/>
  <c r="M80" i="4"/>
  <c r="M66" i="4"/>
  <c r="M52" i="4"/>
  <c r="L42" i="4"/>
  <c r="L25" i="4"/>
  <c r="K16" i="4"/>
  <c r="L94" i="4"/>
  <c r="L80" i="4"/>
  <c r="L66" i="4"/>
  <c r="L52" i="4"/>
  <c r="K42" i="4"/>
  <c r="K17" i="4"/>
  <c r="K94" i="4"/>
  <c r="K80" i="4"/>
  <c r="K66" i="4"/>
  <c r="K52" i="4"/>
  <c r="L24" i="4"/>
  <c r="K18" i="4"/>
  <c r="M93" i="4"/>
  <c r="M65" i="4"/>
  <c r="M51" i="4"/>
  <c r="M37" i="4"/>
  <c r="K24" i="4"/>
  <c r="K20" i="4"/>
  <c r="K90" i="4"/>
  <c r="K79" i="4"/>
  <c r="K65" i="4"/>
  <c r="K51" i="4"/>
  <c r="K37" i="4"/>
  <c r="L19" i="4"/>
  <c r="K30" i="4"/>
  <c r="B21" i="6"/>
  <c r="B20" i="6"/>
  <c r="B20" i="7"/>
  <c r="M8" i="4"/>
  <c r="K8" i="4"/>
  <c r="K95" i="4"/>
  <c r="L88" i="4"/>
  <c r="M81" i="4"/>
  <c r="K75" i="4"/>
  <c r="L68" i="4"/>
  <c r="M61" i="4"/>
  <c r="K55" i="4"/>
  <c r="L48" i="4"/>
  <c r="M41" i="4"/>
  <c r="K35" i="4"/>
  <c r="L26" i="4"/>
  <c r="L17" i="4"/>
  <c r="M94" i="4"/>
  <c r="K88" i="4"/>
  <c r="L81" i="4"/>
  <c r="M74" i="4"/>
  <c r="K68" i="4"/>
  <c r="L61" i="4"/>
  <c r="M54" i="4"/>
  <c r="K48" i="4"/>
  <c r="L41" i="4"/>
  <c r="M34" i="4"/>
  <c r="M25" i="4"/>
  <c r="M16" i="4"/>
  <c r="K22" i="4"/>
  <c r="K23" i="4"/>
  <c r="K25" i="4"/>
  <c r="K27" i="4"/>
  <c r="K28" i="4"/>
  <c r="K29" i="4"/>
  <c r="K7" i="4"/>
  <c r="K31" i="4"/>
  <c r="K10" i="4"/>
  <c r="K11" i="4"/>
  <c r="K12" i="4"/>
  <c r="K14" i="4"/>
  <c r="K15" i="4"/>
  <c r="O5" i="7"/>
  <c r="P5" i="7" s="1"/>
  <c r="S5" i="6"/>
  <c r="T5" i="6" s="1"/>
  <c r="U5" i="6" s="1"/>
  <c r="AN6" i="6"/>
  <c r="AF25" i="6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F7" i="4"/>
  <c r="G7" i="4"/>
  <c r="H7" i="4"/>
  <c r="F8" i="4"/>
  <c r="G8" i="4"/>
  <c r="H8" i="4"/>
  <c r="F9" i="4"/>
  <c r="G9" i="4"/>
  <c r="H9" i="4"/>
  <c r="F10" i="4"/>
  <c r="G10" i="4"/>
  <c r="H10" i="4"/>
  <c r="F11" i="4"/>
  <c r="G11" i="4"/>
  <c r="H11" i="4"/>
  <c r="F12" i="4"/>
  <c r="G12" i="4"/>
  <c r="H12" i="4"/>
  <c r="F13" i="4"/>
  <c r="G13" i="4"/>
  <c r="H13" i="4"/>
  <c r="F14" i="4"/>
  <c r="G14" i="4"/>
  <c r="H14" i="4"/>
  <c r="F15" i="4"/>
  <c r="G15" i="4"/>
  <c r="H15" i="4"/>
  <c r="F16" i="4"/>
  <c r="G16" i="4"/>
  <c r="H16" i="4"/>
  <c r="F17" i="4"/>
  <c r="G17" i="4"/>
  <c r="H17" i="4"/>
  <c r="F18" i="4"/>
  <c r="G18" i="4"/>
  <c r="H18" i="4"/>
  <c r="F19" i="4"/>
  <c r="G19" i="4"/>
  <c r="H19" i="4"/>
  <c r="F20" i="4"/>
  <c r="G20" i="4"/>
  <c r="H20" i="4"/>
  <c r="F21" i="4"/>
  <c r="G21" i="4"/>
  <c r="H21" i="4"/>
  <c r="F22" i="4"/>
  <c r="G22" i="4"/>
  <c r="H22" i="4"/>
  <c r="F23" i="4"/>
  <c r="G23" i="4"/>
  <c r="H23" i="4"/>
  <c r="F24" i="4"/>
  <c r="G24" i="4"/>
  <c r="H24" i="4"/>
  <c r="F25" i="4"/>
  <c r="G25" i="4"/>
  <c r="H25" i="4"/>
  <c r="F26" i="4"/>
  <c r="G26" i="4"/>
  <c r="H26" i="4"/>
  <c r="F27" i="4"/>
  <c r="G27" i="4"/>
  <c r="H27" i="4"/>
  <c r="F28" i="4"/>
  <c r="G28" i="4"/>
  <c r="H28" i="4"/>
  <c r="F29" i="4"/>
  <c r="G29" i="4"/>
  <c r="H29" i="4"/>
  <c r="F30" i="4"/>
  <c r="G30" i="4"/>
  <c r="H30" i="4"/>
  <c r="F31" i="4"/>
  <c r="G31" i="4"/>
  <c r="H31" i="4"/>
  <c r="F32" i="4"/>
  <c r="G32" i="4"/>
  <c r="H32" i="4"/>
  <c r="F33" i="4"/>
  <c r="G33" i="4"/>
  <c r="H33" i="4"/>
  <c r="F34" i="4"/>
  <c r="G34" i="4"/>
  <c r="H34" i="4"/>
  <c r="F35" i="4"/>
  <c r="G35" i="4"/>
  <c r="H35" i="4"/>
  <c r="F36" i="4"/>
  <c r="G36" i="4"/>
  <c r="H36" i="4"/>
  <c r="F37" i="4"/>
  <c r="G37" i="4"/>
  <c r="H37" i="4"/>
  <c r="F38" i="4"/>
  <c r="G38" i="4"/>
  <c r="H38" i="4"/>
  <c r="F39" i="4"/>
  <c r="G39" i="4"/>
  <c r="H39" i="4"/>
  <c r="F40" i="4"/>
  <c r="G40" i="4"/>
  <c r="H40" i="4"/>
  <c r="F41" i="4"/>
  <c r="G41" i="4"/>
  <c r="H41" i="4"/>
  <c r="F42" i="4"/>
  <c r="G42" i="4"/>
  <c r="H42" i="4"/>
  <c r="F43" i="4"/>
  <c r="G43" i="4"/>
  <c r="H43" i="4"/>
  <c r="F44" i="4"/>
  <c r="G44" i="4"/>
  <c r="H44" i="4"/>
  <c r="F45" i="4"/>
  <c r="F107" i="4" s="1"/>
  <c r="B107" i="4" s="1"/>
  <c r="G45" i="4"/>
  <c r="G104" i="4" s="1"/>
  <c r="C104" i="4" s="1"/>
  <c r="H45" i="4"/>
  <c r="H101" i="4" s="1"/>
  <c r="D101" i="4" s="1"/>
  <c r="G6" i="4"/>
  <c r="H6" i="4"/>
  <c r="F6" i="4"/>
  <c r="F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5" i="7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K24" i="6" s="1"/>
  <c r="M5" i="6"/>
  <c r="AL6" i="6"/>
  <c r="AL7" i="6" s="1"/>
  <c r="AL8" i="6" s="1"/>
  <c r="AL9" i="6" s="1"/>
  <c r="AL10" i="6" s="1"/>
  <c r="AL11" i="6" s="1"/>
  <c r="AL12" i="6" s="1"/>
  <c r="AL13" i="6" s="1"/>
  <c r="AL14" i="6" s="1"/>
  <c r="AL15" i="6" s="1"/>
  <c r="AL16" i="6" s="1"/>
  <c r="AL17" i="6" s="1"/>
  <c r="AL18" i="6" s="1"/>
  <c r="AL19" i="6" s="1"/>
  <c r="AL20" i="6" s="1"/>
  <c r="AL21" i="6" s="1"/>
  <c r="AL22" i="6" s="1"/>
  <c r="AL23" i="6" s="1"/>
  <c r="AL24" i="6" s="1"/>
  <c r="E72" i="1"/>
  <c r="B72" i="1"/>
  <c r="E71" i="1"/>
  <c r="B71" i="1"/>
  <c r="AH6" i="7"/>
  <c r="AF6" i="7"/>
  <c r="AF7" i="7" s="1"/>
  <c r="AF8" i="7" s="1"/>
  <c r="AF9" i="7" s="1"/>
  <c r="AF10" i="7" s="1"/>
  <c r="AF11" i="7" s="1"/>
  <c r="AF12" i="7" s="1"/>
  <c r="AF13" i="7" s="1"/>
  <c r="AF14" i="7" s="1"/>
  <c r="AF15" i="7" s="1"/>
  <c r="AF16" i="7" s="1"/>
  <c r="AF17" i="7" s="1"/>
  <c r="AF18" i="7" s="1"/>
  <c r="AF19" i="7" s="1"/>
  <c r="AF20" i="7" s="1"/>
  <c r="AF21" i="7" s="1"/>
  <c r="AF22" i="7" s="1"/>
  <c r="AF23" i="7" s="1"/>
  <c r="AF24" i="7" s="1"/>
  <c r="AF25" i="7" s="1"/>
  <c r="AF26" i="7" s="1"/>
  <c r="AF27" i="7" s="1"/>
  <c r="AF28" i="7" s="1"/>
  <c r="AF29" i="7" s="1"/>
  <c r="AF30" i="7" s="1"/>
  <c r="AF31" i="7" s="1"/>
  <c r="AF32" i="7" s="1"/>
  <c r="AF33" i="7" s="1"/>
  <c r="AF34" i="7" s="1"/>
  <c r="AF35" i="7" s="1"/>
  <c r="AF36" i="7" s="1"/>
  <c r="AF37" i="7" s="1"/>
  <c r="AF38" i="7" s="1"/>
  <c r="AF39" i="7" s="1"/>
  <c r="AF40" i="7" s="1"/>
  <c r="AF41" i="7" s="1"/>
  <c r="AF42" i="7" s="1"/>
  <c r="AF43" i="7" s="1"/>
  <c r="AF44" i="7" s="1"/>
  <c r="AF45" i="7" s="1"/>
  <c r="AF46" i="7" s="1"/>
  <c r="AF47" i="7" s="1"/>
  <c r="AF48" i="7" s="1"/>
  <c r="AF49" i="7" s="1"/>
  <c r="AF50" i="7" s="1"/>
  <c r="AF51" i="7" s="1"/>
  <c r="AF52" i="7" s="1"/>
  <c r="AF53" i="7" s="1"/>
  <c r="AF54" i="7" s="1"/>
  <c r="AF55" i="7" s="1"/>
  <c r="AF56" i="7" s="1"/>
  <c r="AF57" i="7" s="1"/>
  <c r="AF58" i="7" s="1"/>
  <c r="AF59" i="7" s="1"/>
  <c r="AF60" i="7" s="1"/>
  <c r="AF61" i="7" s="1"/>
  <c r="AF62" i="7" s="1"/>
  <c r="AF63" i="7" s="1"/>
  <c r="AF64" i="7" s="1"/>
  <c r="AF65" i="7" s="1"/>
  <c r="AF66" i="7" s="1"/>
  <c r="AF67" i="7" s="1"/>
  <c r="AF68" i="7" s="1"/>
  <c r="AF69" i="7" s="1"/>
  <c r="AF70" i="7" s="1"/>
  <c r="AF71" i="7" s="1"/>
  <c r="AF72" i="7" s="1"/>
  <c r="AF73" i="7" s="1"/>
  <c r="AF74" i="7" s="1"/>
  <c r="AF75" i="7" s="1"/>
  <c r="AF76" i="7" s="1"/>
  <c r="AF77" i="7" s="1"/>
  <c r="AF78" i="7" s="1"/>
  <c r="AF79" i="7" s="1"/>
  <c r="AF80" i="7" s="1"/>
  <c r="AF81" i="7" s="1"/>
  <c r="AF82" i="7" s="1"/>
  <c r="AF83" i="7" s="1"/>
  <c r="AF84" i="7" s="1"/>
  <c r="AF85" i="7" s="1"/>
  <c r="AF86" i="7" s="1"/>
  <c r="AF87" i="7" s="1"/>
  <c r="AF88" i="7" s="1"/>
  <c r="AF89" i="7" s="1"/>
  <c r="AF90" i="7" s="1"/>
  <c r="AF91" i="7" s="1"/>
  <c r="AF92" i="7" s="1"/>
  <c r="AF93" i="7" s="1"/>
  <c r="D6" i="7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6" i="6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B10" i="2"/>
  <c r="B13" i="6" s="1"/>
  <c r="I19" i="1"/>
  <c r="J19" i="1"/>
  <c r="H19" i="1"/>
  <c r="B9" i="2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I20" i="1"/>
  <c r="J20" i="1"/>
  <c r="H20" i="1"/>
  <c r="H18" i="1"/>
  <c r="I18" i="1"/>
  <c r="J18" i="1"/>
  <c r="H17" i="1"/>
  <c r="I17" i="1"/>
  <c r="J17" i="1"/>
  <c r="E68" i="1"/>
  <c r="B68" i="1"/>
  <c r="E70" i="1"/>
  <c r="E69" i="1"/>
  <c r="B70" i="1"/>
  <c r="B69" i="1"/>
  <c r="M124" i="4" l="1"/>
  <c r="M104" i="4"/>
  <c r="M123" i="4"/>
  <c r="M103" i="4"/>
  <c r="M116" i="4"/>
  <c r="M129" i="4"/>
  <c r="M109" i="4"/>
  <c r="M128" i="4"/>
  <c r="M108" i="4"/>
  <c r="M117" i="4"/>
  <c r="M115" i="4"/>
  <c r="M130" i="4"/>
  <c r="M110" i="4"/>
  <c r="M122" i="4"/>
  <c r="M102" i="4"/>
  <c r="M105" i="4"/>
  <c r="M127" i="4"/>
  <c r="M114" i="4"/>
  <c r="M101" i="4"/>
  <c r="M126" i="4"/>
  <c r="M125" i="4"/>
  <c r="M121" i="4"/>
  <c r="M111" i="4"/>
  <c r="M120" i="4"/>
  <c r="M119" i="4"/>
  <c r="M118" i="4"/>
  <c r="M100" i="4"/>
  <c r="M99" i="4"/>
  <c r="M107" i="4"/>
  <c r="M106" i="4"/>
  <c r="M113" i="4"/>
  <c r="M112" i="4"/>
  <c r="K118" i="4"/>
  <c r="K117" i="4"/>
  <c r="K130" i="4"/>
  <c r="K110" i="4"/>
  <c r="K103" i="4"/>
  <c r="K129" i="4"/>
  <c r="K109" i="4"/>
  <c r="K111" i="4"/>
  <c r="K123" i="4"/>
  <c r="K122" i="4"/>
  <c r="K124" i="4"/>
  <c r="K104" i="4"/>
  <c r="K102" i="4"/>
  <c r="K116" i="4"/>
  <c r="K119" i="4"/>
  <c r="K128" i="4"/>
  <c r="K115" i="4"/>
  <c r="K105" i="4"/>
  <c r="K127" i="4"/>
  <c r="K126" i="4"/>
  <c r="K99" i="4"/>
  <c r="K121" i="4"/>
  <c r="K106" i="4"/>
  <c r="K114" i="4"/>
  <c r="K108" i="4"/>
  <c r="K101" i="4"/>
  <c r="K113" i="4"/>
  <c r="K100" i="4"/>
  <c r="K125" i="4"/>
  <c r="K112" i="4"/>
  <c r="K120" i="4"/>
  <c r="K107" i="4"/>
  <c r="B13" i="7"/>
  <c r="L111" i="4"/>
  <c r="L130" i="4"/>
  <c r="L110" i="4"/>
  <c r="L103" i="4"/>
  <c r="L102" i="4"/>
  <c r="L128" i="4"/>
  <c r="L124" i="4"/>
  <c r="L104" i="4"/>
  <c r="L117" i="4"/>
  <c r="L123" i="4"/>
  <c r="L116" i="4"/>
  <c r="L122" i="4"/>
  <c r="L115" i="4"/>
  <c r="L129" i="4"/>
  <c r="L109" i="4"/>
  <c r="L106" i="4"/>
  <c r="L118" i="4"/>
  <c r="L105" i="4"/>
  <c r="L127" i="4"/>
  <c r="L101" i="4"/>
  <c r="L100" i="4"/>
  <c r="L125" i="4"/>
  <c r="L112" i="4"/>
  <c r="L99" i="4"/>
  <c r="L120" i="4"/>
  <c r="L114" i="4"/>
  <c r="L107" i="4"/>
  <c r="L126" i="4"/>
  <c r="L113" i="4"/>
  <c r="L121" i="4"/>
  <c r="L108" i="4"/>
  <c r="L119" i="4"/>
  <c r="B14" i="6"/>
  <c r="AA28" i="6" s="1"/>
  <c r="M18" i="6"/>
  <c r="M12" i="6"/>
  <c r="M9" i="6"/>
  <c r="M8" i="6"/>
  <c r="M20" i="6"/>
  <c r="M7" i="6"/>
  <c r="M19" i="6"/>
  <c r="M15" i="6"/>
  <c r="M22" i="6"/>
  <c r="M14" i="6"/>
  <c r="M6" i="6"/>
  <c r="M11" i="6"/>
  <c r="M23" i="6"/>
  <c r="M21" i="6"/>
  <c r="Z5" i="7"/>
  <c r="V96" i="7"/>
  <c r="AE5" i="6"/>
  <c r="B14" i="7"/>
  <c r="V97" i="7" s="1"/>
  <c r="H81" i="4"/>
  <c r="D81" i="4" s="1"/>
  <c r="G52" i="4"/>
  <c r="C52" i="4" s="1"/>
  <c r="G111" i="4"/>
  <c r="C111" i="4" s="1"/>
  <c r="H90" i="4"/>
  <c r="D90" i="4" s="1"/>
  <c r="H108" i="4"/>
  <c r="D108" i="4" s="1"/>
  <c r="G46" i="4"/>
  <c r="C46" i="4" s="1"/>
  <c r="G91" i="4"/>
  <c r="C91" i="4" s="1"/>
  <c r="G83" i="4"/>
  <c r="C83" i="4" s="1"/>
  <c r="G130" i="4"/>
  <c r="C130" i="4" s="1"/>
  <c r="G75" i="4"/>
  <c r="C75" i="4" s="1"/>
  <c r="G127" i="4"/>
  <c r="C127" i="4" s="1"/>
  <c r="G68" i="4"/>
  <c r="C68" i="4" s="1"/>
  <c r="G119" i="4"/>
  <c r="C119" i="4" s="1"/>
  <c r="G67" i="4"/>
  <c r="C67" i="4" s="1"/>
  <c r="F117" i="4"/>
  <c r="B117" i="4" s="1"/>
  <c r="F61" i="4"/>
  <c r="B61" i="4" s="1"/>
  <c r="H98" i="4"/>
  <c r="D98" i="4" s="1"/>
  <c r="H58" i="4"/>
  <c r="D58" i="4" s="1"/>
  <c r="F122" i="4"/>
  <c r="B122" i="4" s="1"/>
  <c r="F60" i="4"/>
  <c r="B60" i="4" s="1"/>
  <c r="G76" i="4"/>
  <c r="C76" i="4" s="1"/>
  <c r="H97" i="4"/>
  <c r="D97" i="4" s="1"/>
  <c r="H49" i="4"/>
  <c r="D49" i="4" s="1"/>
  <c r="H119" i="4"/>
  <c r="D119" i="4" s="1"/>
  <c r="G106" i="4"/>
  <c r="C106" i="4" s="1"/>
  <c r="F53" i="4"/>
  <c r="B53" i="4" s="1"/>
  <c r="H100" i="4"/>
  <c r="D100" i="4" s="1"/>
  <c r="F92" i="4"/>
  <c r="B92" i="4" s="1"/>
  <c r="H74" i="4"/>
  <c r="D74" i="4" s="1"/>
  <c r="H116" i="4"/>
  <c r="D116" i="4" s="1"/>
  <c r="F52" i="4"/>
  <c r="B52" i="4" s="1"/>
  <c r="F130" i="4"/>
  <c r="B130" i="4" s="1"/>
  <c r="F85" i="4"/>
  <c r="B85" i="4" s="1"/>
  <c r="G99" i="4"/>
  <c r="C99" i="4" s="1"/>
  <c r="G59" i="4"/>
  <c r="C59" i="4" s="1"/>
  <c r="H73" i="4"/>
  <c r="D73" i="4" s="1"/>
  <c r="H127" i="4"/>
  <c r="D127" i="4" s="1"/>
  <c r="H111" i="4"/>
  <c r="D111" i="4" s="1"/>
  <c r="F93" i="4"/>
  <c r="B93" i="4" s="1"/>
  <c r="F84" i="4"/>
  <c r="B84" i="4" s="1"/>
  <c r="H66" i="4"/>
  <c r="D66" i="4" s="1"/>
  <c r="F77" i="4"/>
  <c r="B77" i="4" s="1"/>
  <c r="G84" i="4"/>
  <c r="C84" i="4" s="1"/>
  <c r="G51" i="4"/>
  <c r="C51" i="4" s="1"/>
  <c r="H65" i="4"/>
  <c r="D65" i="4" s="1"/>
  <c r="G122" i="4"/>
  <c r="C122" i="4" s="1"/>
  <c r="F109" i="4"/>
  <c r="B109" i="4" s="1"/>
  <c r="F68" i="4"/>
  <c r="B68" i="4" s="1"/>
  <c r="F101" i="4"/>
  <c r="B101" i="4" s="1"/>
  <c r="F106" i="4"/>
  <c r="B106" i="4" s="1"/>
  <c r="F76" i="4"/>
  <c r="B76" i="4" s="1"/>
  <c r="H89" i="4"/>
  <c r="D89" i="4" s="1"/>
  <c r="H57" i="4"/>
  <c r="D57" i="4" s="1"/>
  <c r="F125" i="4"/>
  <c r="B125" i="4" s="1"/>
  <c r="G114" i="4"/>
  <c r="C114" i="4" s="1"/>
  <c r="H103" i="4"/>
  <c r="D103" i="4" s="1"/>
  <c r="F69" i="4"/>
  <c r="B69" i="4" s="1"/>
  <c r="G92" i="4"/>
  <c r="C92" i="4" s="1"/>
  <c r="G60" i="4"/>
  <c r="C60" i="4" s="1"/>
  <c r="H82" i="4"/>
  <c r="D82" i="4" s="1"/>
  <c r="H50" i="4"/>
  <c r="D50" i="4" s="1"/>
  <c r="H124" i="4"/>
  <c r="D124" i="4" s="1"/>
  <c r="F114" i="4"/>
  <c r="B114" i="4" s="1"/>
  <c r="G103" i="4"/>
  <c r="C103" i="4" s="1"/>
  <c r="F73" i="4"/>
  <c r="B73" i="4" s="1"/>
  <c r="F94" i="4"/>
  <c r="B94" i="4" s="1"/>
  <c r="F86" i="4"/>
  <c r="B86" i="4" s="1"/>
  <c r="F78" i="4"/>
  <c r="B78" i="4" s="1"/>
  <c r="F70" i="4"/>
  <c r="B70" i="4" s="1"/>
  <c r="F62" i="4"/>
  <c r="B62" i="4" s="1"/>
  <c r="F54" i="4"/>
  <c r="B54" i="4" s="1"/>
  <c r="F46" i="4"/>
  <c r="B46" i="4" s="1"/>
  <c r="G93" i="4"/>
  <c r="C93" i="4" s="1"/>
  <c r="G85" i="4"/>
  <c r="C85" i="4" s="1"/>
  <c r="G77" i="4"/>
  <c r="C77" i="4" s="1"/>
  <c r="G69" i="4"/>
  <c r="C69" i="4" s="1"/>
  <c r="G61" i="4"/>
  <c r="C61" i="4" s="1"/>
  <c r="G53" i="4"/>
  <c r="C53" i="4" s="1"/>
  <c r="H99" i="4"/>
  <c r="D99" i="4" s="1"/>
  <c r="H91" i="4"/>
  <c r="D91" i="4" s="1"/>
  <c r="H83" i="4"/>
  <c r="D83" i="4" s="1"/>
  <c r="H75" i="4"/>
  <c r="D75" i="4" s="1"/>
  <c r="H67" i="4"/>
  <c r="D67" i="4" s="1"/>
  <c r="H59" i="4"/>
  <c r="D59" i="4" s="1"/>
  <c r="H51" i="4"/>
  <c r="D51" i="4" s="1"/>
  <c r="H130" i="4"/>
  <c r="D130" i="4" s="1"/>
  <c r="F128" i="4"/>
  <c r="B128" i="4" s="1"/>
  <c r="G125" i="4"/>
  <c r="C125" i="4" s="1"/>
  <c r="H122" i="4"/>
  <c r="D122" i="4" s="1"/>
  <c r="F120" i="4"/>
  <c r="B120" i="4" s="1"/>
  <c r="G117" i="4"/>
  <c r="C117" i="4" s="1"/>
  <c r="H114" i="4"/>
  <c r="D114" i="4" s="1"/>
  <c r="F112" i="4"/>
  <c r="B112" i="4" s="1"/>
  <c r="G109" i="4"/>
  <c r="C109" i="4" s="1"/>
  <c r="H106" i="4"/>
  <c r="D106" i="4" s="1"/>
  <c r="F104" i="4"/>
  <c r="B104" i="4" s="1"/>
  <c r="G101" i="4"/>
  <c r="C101" i="4" s="1"/>
  <c r="F91" i="4"/>
  <c r="B91" i="4" s="1"/>
  <c r="F83" i="4"/>
  <c r="B83" i="4" s="1"/>
  <c r="F75" i="4"/>
  <c r="B75" i="4" s="1"/>
  <c r="F67" i="4"/>
  <c r="B67" i="4" s="1"/>
  <c r="F59" i="4"/>
  <c r="B59" i="4" s="1"/>
  <c r="F51" i="4"/>
  <c r="B51" i="4" s="1"/>
  <c r="G98" i="4"/>
  <c r="C98" i="4" s="1"/>
  <c r="G90" i="4"/>
  <c r="C90" i="4" s="1"/>
  <c r="G82" i="4"/>
  <c r="C82" i="4" s="1"/>
  <c r="G74" i="4"/>
  <c r="C74" i="4" s="1"/>
  <c r="G66" i="4"/>
  <c r="C66" i="4" s="1"/>
  <c r="G58" i="4"/>
  <c r="C58" i="4" s="1"/>
  <c r="G50" i="4"/>
  <c r="C50" i="4" s="1"/>
  <c r="H96" i="4"/>
  <c r="D96" i="4" s="1"/>
  <c r="H88" i="4"/>
  <c r="D88" i="4" s="1"/>
  <c r="H80" i="4"/>
  <c r="D80" i="4" s="1"/>
  <c r="H72" i="4"/>
  <c r="D72" i="4" s="1"/>
  <c r="H64" i="4"/>
  <c r="D64" i="4" s="1"/>
  <c r="H56" i="4"/>
  <c r="D56" i="4" s="1"/>
  <c r="H48" i="4"/>
  <c r="D48" i="4" s="1"/>
  <c r="H129" i="4"/>
  <c r="D129" i="4" s="1"/>
  <c r="F127" i="4"/>
  <c r="B127" i="4" s="1"/>
  <c r="G124" i="4"/>
  <c r="C124" i="4" s="1"/>
  <c r="H121" i="4"/>
  <c r="D121" i="4" s="1"/>
  <c r="F119" i="4"/>
  <c r="B119" i="4" s="1"/>
  <c r="G116" i="4"/>
  <c r="C116" i="4" s="1"/>
  <c r="H113" i="4"/>
  <c r="D113" i="4" s="1"/>
  <c r="F111" i="4"/>
  <c r="B111" i="4" s="1"/>
  <c r="G108" i="4"/>
  <c r="C108" i="4" s="1"/>
  <c r="H105" i="4"/>
  <c r="D105" i="4" s="1"/>
  <c r="F103" i="4"/>
  <c r="B103" i="4" s="1"/>
  <c r="G100" i="4"/>
  <c r="C100" i="4" s="1"/>
  <c r="F98" i="4"/>
  <c r="B98" i="4" s="1"/>
  <c r="F90" i="4"/>
  <c r="B90" i="4" s="1"/>
  <c r="F82" i="4"/>
  <c r="B82" i="4" s="1"/>
  <c r="F74" i="4"/>
  <c r="B74" i="4" s="1"/>
  <c r="F66" i="4"/>
  <c r="B66" i="4" s="1"/>
  <c r="F58" i="4"/>
  <c r="B58" i="4" s="1"/>
  <c r="F50" i="4"/>
  <c r="B50" i="4" s="1"/>
  <c r="G97" i="4"/>
  <c r="C97" i="4" s="1"/>
  <c r="G89" i="4"/>
  <c r="C89" i="4" s="1"/>
  <c r="G81" i="4"/>
  <c r="C81" i="4" s="1"/>
  <c r="G73" i="4"/>
  <c r="C73" i="4" s="1"/>
  <c r="G65" i="4"/>
  <c r="C65" i="4" s="1"/>
  <c r="G57" i="4"/>
  <c r="C57" i="4" s="1"/>
  <c r="G49" i="4"/>
  <c r="C49" i="4" s="1"/>
  <c r="H95" i="4"/>
  <c r="D95" i="4" s="1"/>
  <c r="H87" i="4"/>
  <c r="D87" i="4" s="1"/>
  <c r="H79" i="4"/>
  <c r="D79" i="4" s="1"/>
  <c r="H71" i="4"/>
  <c r="D71" i="4" s="1"/>
  <c r="H63" i="4"/>
  <c r="D63" i="4" s="1"/>
  <c r="H55" i="4"/>
  <c r="D55" i="4" s="1"/>
  <c r="H47" i="4"/>
  <c r="D47" i="4" s="1"/>
  <c r="G129" i="4"/>
  <c r="C129" i="4" s="1"/>
  <c r="H126" i="4"/>
  <c r="D126" i="4" s="1"/>
  <c r="F124" i="4"/>
  <c r="B124" i="4" s="1"/>
  <c r="G121" i="4"/>
  <c r="C121" i="4" s="1"/>
  <c r="H118" i="4"/>
  <c r="D118" i="4" s="1"/>
  <c r="F116" i="4"/>
  <c r="B116" i="4" s="1"/>
  <c r="G113" i="4"/>
  <c r="C113" i="4" s="1"/>
  <c r="H110" i="4"/>
  <c r="D110" i="4" s="1"/>
  <c r="F108" i="4"/>
  <c r="B108" i="4" s="1"/>
  <c r="G105" i="4"/>
  <c r="C105" i="4" s="1"/>
  <c r="H102" i="4"/>
  <c r="D102" i="4" s="1"/>
  <c r="F100" i="4"/>
  <c r="B100" i="4" s="1"/>
  <c r="F97" i="4"/>
  <c r="B97" i="4" s="1"/>
  <c r="F89" i="4"/>
  <c r="B89" i="4" s="1"/>
  <c r="F81" i="4"/>
  <c r="B81" i="4" s="1"/>
  <c r="F57" i="4"/>
  <c r="B57" i="4" s="1"/>
  <c r="F49" i="4"/>
  <c r="B49" i="4" s="1"/>
  <c r="G96" i="4"/>
  <c r="C96" i="4" s="1"/>
  <c r="G88" i="4"/>
  <c r="C88" i="4" s="1"/>
  <c r="G80" i="4"/>
  <c r="C80" i="4" s="1"/>
  <c r="G72" i="4"/>
  <c r="C72" i="4" s="1"/>
  <c r="G64" i="4"/>
  <c r="C64" i="4" s="1"/>
  <c r="G56" i="4"/>
  <c r="C56" i="4" s="1"/>
  <c r="G48" i="4"/>
  <c r="C48" i="4" s="1"/>
  <c r="H94" i="4"/>
  <c r="D94" i="4" s="1"/>
  <c r="H86" i="4"/>
  <c r="D86" i="4" s="1"/>
  <c r="H78" i="4"/>
  <c r="D78" i="4" s="1"/>
  <c r="H70" i="4"/>
  <c r="D70" i="4" s="1"/>
  <c r="H62" i="4"/>
  <c r="D62" i="4" s="1"/>
  <c r="H54" i="4"/>
  <c r="D54" i="4" s="1"/>
  <c r="F129" i="4"/>
  <c r="B129" i="4" s="1"/>
  <c r="G126" i="4"/>
  <c r="C126" i="4" s="1"/>
  <c r="H123" i="4"/>
  <c r="D123" i="4" s="1"/>
  <c r="F121" i="4"/>
  <c r="B121" i="4" s="1"/>
  <c r="G118" i="4"/>
  <c r="C118" i="4" s="1"/>
  <c r="H115" i="4"/>
  <c r="D115" i="4" s="1"/>
  <c r="F113" i="4"/>
  <c r="B113" i="4" s="1"/>
  <c r="G110" i="4"/>
  <c r="C110" i="4" s="1"/>
  <c r="H107" i="4"/>
  <c r="D107" i="4" s="1"/>
  <c r="F105" i="4"/>
  <c r="B105" i="4" s="1"/>
  <c r="G102" i="4"/>
  <c r="C102" i="4" s="1"/>
  <c r="F65" i="4"/>
  <c r="B65" i="4" s="1"/>
  <c r="F96" i="4"/>
  <c r="B96" i="4" s="1"/>
  <c r="F88" i="4"/>
  <c r="B88" i="4" s="1"/>
  <c r="F80" i="4"/>
  <c r="B80" i="4" s="1"/>
  <c r="F72" i="4"/>
  <c r="B72" i="4" s="1"/>
  <c r="F64" i="4"/>
  <c r="B64" i="4" s="1"/>
  <c r="F56" i="4"/>
  <c r="B56" i="4" s="1"/>
  <c r="F48" i="4"/>
  <c r="B48" i="4" s="1"/>
  <c r="G95" i="4"/>
  <c r="C95" i="4" s="1"/>
  <c r="G87" i="4"/>
  <c r="C87" i="4" s="1"/>
  <c r="G79" i="4"/>
  <c r="C79" i="4" s="1"/>
  <c r="G71" i="4"/>
  <c r="C71" i="4" s="1"/>
  <c r="G63" i="4"/>
  <c r="C63" i="4" s="1"/>
  <c r="G55" i="4"/>
  <c r="C55" i="4" s="1"/>
  <c r="G47" i="4"/>
  <c r="C47" i="4" s="1"/>
  <c r="H93" i="4"/>
  <c r="D93" i="4" s="1"/>
  <c r="H85" i="4"/>
  <c r="D85" i="4" s="1"/>
  <c r="H77" i="4"/>
  <c r="D77" i="4" s="1"/>
  <c r="H69" i="4"/>
  <c r="D69" i="4" s="1"/>
  <c r="H61" i="4"/>
  <c r="D61" i="4" s="1"/>
  <c r="H53" i="4"/>
  <c r="D53" i="4" s="1"/>
  <c r="H128" i="4"/>
  <c r="D128" i="4" s="1"/>
  <c r="F126" i="4"/>
  <c r="B126" i="4" s="1"/>
  <c r="G123" i="4"/>
  <c r="C123" i="4" s="1"/>
  <c r="H120" i="4"/>
  <c r="D120" i="4" s="1"/>
  <c r="F118" i="4"/>
  <c r="B118" i="4" s="1"/>
  <c r="G115" i="4"/>
  <c r="C115" i="4" s="1"/>
  <c r="H112" i="4"/>
  <c r="D112" i="4" s="1"/>
  <c r="F110" i="4"/>
  <c r="B110" i="4" s="1"/>
  <c r="G107" i="4"/>
  <c r="C107" i="4" s="1"/>
  <c r="H104" i="4"/>
  <c r="D104" i="4" s="1"/>
  <c r="F102" i="4"/>
  <c r="B102" i="4" s="1"/>
  <c r="F95" i="4"/>
  <c r="B95" i="4" s="1"/>
  <c r="F87" i="4"/>
  <c r="B87" i="4" s="1"/>
  <c r="F79" i="4"/>
  <c r="B79" i="4" s="1"/>
  <c r="F71" i="4"/>
  <c r="B71" i="4" s="1"/>
  <c r="F63" i="4"/>
  <c r="B63" i="4" s="1"/>
  <c r="F55" i="4"/>
  <c r="B55" i="4" s="1"/>
  <c r="F47" i="4"/>
  <c r="B47" i="4" s="1"/>
  <c r="G94" i="4"/>
  <c r="C94" i="4" s="1"/>
  <c r="G86" i="4"/>
  <c r="C86" i="4" s="1"/>
  <c r="G78" i="4"/>
  <c r="C78" i="4" s="1"/>
  <c r="G70" i="4"/>
  <c r="C70" i="4" s="1"/>
  <c r="G62" i="4"/>
  <c r="C62" i="4" s="1"/>
  <c r="G54" i="4"/>
  <c r="C54" i="4" s="1"/>
  <c r="H46" i="4"/>
  <c r="D46" i="4" s="1"/>
  <c r="H92" i="4"/>
  <c r="D92" i="4" s="1"/>
  <c r="H84" i="4"/>
  <c r="D84" i="4" s="1"/>
  <c r="H76" i="4"/>
  <c r="D76" i="4" s="1"/>
  <c r="H68" i="4"/>
  <c r="D68" i="4" s="1"/>
  <c r="H60" i="4"/>
  <c r="D60" i="4" s="1"/>
  <c r="H52" i="4"/>
  <c r="D52" i="4" s="1"/>
  <c r="F99" i="4"/>
  <c r="B99" i="4" s="1"/>
  <c r="G128" i="4"/>
  <c r="C128" i="4" s="1"/>
  <c r="H125" i="4"/>
  <c r="D125" i="4" s="1"/>
  <c r="F123" i="4"/>
  <c r="B123" i="4" s="1"/>
  <c r="G120" i="4"/>
  <c r="C120" i="4" s="1"/>
  <c r="H117" i="4"/>
  <c r="D117" i="4" s="1"/>
  <c r="F115" i="4"/>
  <c r="B115" i="4" s="1"/>
  <c r="G112" i="4"/>
  <c r="C112" i="4" s="1"/>
  <c r="H109" i="4"/>
  <c r="D109" i="4" s="1"/>
  <c r="AA27" i="6"/>
  <c r="AM7" i="6"/>
  <c r="U5" i="7"/>
  <c r="M13" i="6"/>
  <c r="Z5" i="6"/>
  <c r="X6" i="6" s="1"/>
  <c r="M10" i="6"/>
  <c r="M17" i="6"/>
  <c r="M24" i="6"/>
  <c r="M16" i="6"/>
  <c r="AG7" i="7"/>
  <c r="X5" i="7"/>
  <c r="N6" i="7"/>
  <c r="W5" i="7"/>
  <c r="Y5" i="7"/>
  <c r="AC5" i="6"/>
  <c r="AD5" i="6"/>
  <c r="AB5" i="6"/>
  <c r="R6" i="6"/>
  <c r="S6" i="6" s="1"/>
  <c r="N46" i="1"/>
  <c r="N47" i="1"/>
  <c r="N48" i="1"/>
  <c r="X95" i="7" l="1"/>
  <c r="X96" i="7"/>
  <c r="X97" i="7"/>
  <c r="W95" i="7"/>
  <c r="W96" i="7"/>
  <c r="W97" i="7"/>
  <c r="AI5" i="6"/>
  <c r="AN7" i="6"/>
  <c r="AG5" i="6"/>
  <c r="AA5" i="7"/>
  <c r="S6" i="7"/>
  <c r="O6" i="7"/>
  <c r="Z6" i="7" s="1"/>
  <c r="AH7" i="7"/>
  <c r="AG8" i="7" l="1"/>
  <c r="AH8" i="7" s="1"/>
  <c r="AM8" i="6"/>
  <c r="AN8" i="6" s="1"/>
  <c r="P6" i="7"/>
  <c r="AE6" i="6"/>
  <c r="T6" i="6"/>
  <c r="U6" i="6" s="1"/>
  <c r="AG9" i="7" l="1"/>
  <c r="AH9" i="7" s="1"/>
  <c r="AM9" i="6"/>
  <c r="Y6" i="7"/>
  <c r="U6" i="7"/>
  <c r="S7" i="7" s="1"/>
  <c r="N7" i="7"/>
  <c r="R7" i="6"/>
  <c r="S7" i="6" s="1"/>
  <c r="AD6" i="6"/>
  <c r="AC6" i="6"/>
  <c r="AB6" i="6"/>
  <c r="Z6" i="6"/>
  <c r="AA6" i="7" l="1"/>
  <c r="AG10" i="7"/>
  <c r="AH10" i="7" s="1"/>
  <c r="AN9" i="6"/>
  <c r="AG6" i="6"/>
  <c r="O7" i="7"/>
  <c r="Z7" i="7" s="1"/>
  <c r="X7" i="6"/>
  <c r="AE7" i="6"/>
  <c r="AG11" i="7" l="1"/>
  <c r="AH11" i="7" s="1"/>
  <c r="AM10" i="6"/>
  <c r="P7" i="7"/>
  <c r="U7" i="7" s="1"/>
  <c r="T7" i="6"/>
  <c r="U7" i="6" s="1"/>
  <c r="R8" i="6" s="1"/>
  <c r="S8" i="6" s="1"/>
  <c r="AN10" i="6" l="1"/>
  <c r="Y7" i="7"/>
  <c r="N8" i="7"/>
  <c r="Z7" i="6"/>
  <c r="X8" i="6" s="1"/>
  <c r="AD7" i="6"/>
  <c r="AB7" i="6"/>
  <c r="AC7" i="6"/>
  <c r="S8" i="7"/>
  <c r="AG12" i="7"/>
  <c r="AE8" i="6"/>
  <c r="AA7" i="7" l="1"/>
  <c r="AG7" i="6"/>
  <c r="AM11" i="6"/>
  <c r="O8" i="7"/>
  <c r="Z8" i="7" s="1"/>
  <c r="AH12" i="7"/>
  <c r="T8" i="6"/>
  <c r="U8" i="6" s="1"/>
  <c r="AG13" i="7" l="1"/>
  <c r="AH13" i="7" s="1"/>
  <c r="AN11" i="6"/>
  <c r="P8" i="7"/>
  <c r="N9" i="7" s="1"/>
  <c r="R9" i="6"/>
  <c r="S9" i="6" s="1"/>
  <c r="AD8" i="6"/>
  <c r="AC8" i="6"/>
  <c r="AB8" i="6"/>
  <c r="Z8" i="6"/>
  <c r="AG14" i="7" l="1"/>
  <c r="AH14" i="7" s="1"/>
  <c r="AM12" i="6"/>
  <c r="AN12" i="6" s="1"/>
  <c r="AG8" i="6"/>
  <c r="U8" i="7"/>
  <c r="S9" i="7" s="1"/>
  <c r="O9" i="7"/>
  <c r="Z9" i="7" s="1"/>
  <c r="Y8" i="7"/>
  <c r="X9" i="6"/>
  <c r="AE9" i="6"/>
  <c r="AA8" i="7" l="1"/>
  <c r="AG15" i="7"/>
  <c r="AH15" i="7" s="1"/>
  <c r="AM13" i="6"/>
  <c r="AN13" i="6" s="1"/>
  <c r="P9" i="7"/>
  <c r="N10" i="7" s="1"/>
  <c r="T9" i="6"/>
  <c r="U9" i="6" s="1"/>
  <c r="AG16" i="7" l="1"/>
  <c r="AH16" i="7" s="1"/>
  <c r="AM14" i="6"/>
  <c r="Y9" i="7"/>
  <c r="U9" i="7"/>
  <c r="S10" i="7" s="1"/>
  <c r="O10" i="7"/>
  <c r="Z10" i="7" s="1"/>
  <c r="AD9" i="6"/>
  <c r="AC9" i="6"/>
  <c r="R10" i="6"/>
  <c r="S10" i="6" s="1"/>
  <c r="AB9" i="6"/>
  <c r="Z9" i="6"/>
  <c r="AA9" i="7" l="1"/>
  <c r="AG17" i="7"/>
  <c r="AH17" i="7" s="1"/>
  <c r="AN14" i="6"/>
  <c r="AM15" i="6" s="1"/>
  <c r="P10" i="7"/>
  <c r="N11" i="7" s="1"/>
  <c r="AG9" i="6"/>
  <c r="X10" i="6"/>
  <c r="AE10" i="6"/>
  <c r="AG18" i="7" l="1"/>
  <c r="AH18" i="7" s="1"/>
  <c r="AN15" i="6"/>
  <c r="AM16" i="6" s="1"/>
  <c r="U10" i="7"/>
  <c r="S11" i="7" s="1"/>
  <c r="Y10" i="7"/>
  <c r="AA10" i="7" s="1"/>
  <c r="T10" i="6"/>
  <c r="U10" i="6" s="1"/>
  <c r="AD10" i="6" s="1"/>
  <c r="O11" i="7"/>
  <c r="Z11" i="7" s="1"/>
  <c r="AG19" i="7" l="1"/>
  <c r="AH19" i="7" s="1"/>
  <c r="AN16" i="6"/>
  <c r="AM17" i="6" s="1"/>
  <c r="P11" i="7"/>
  <c r="U11" i="7" s="1"/>
  <c r="AC10" i="6"/>
  <c r="R11" i="6"/>
  <c r="S11" i="6" s="1"/>
  <c r="Z10" i="6"/>
  <c r="X11" i="6" s="1"/>
  <c r="AB10" i="6"/>
  <c r="AE11" i="6" l="1"/>
  <c r="AG20" i="7"/>
  <c r="AH20" i="7" s="1"/>
  <c r="AN17" i="6"/>
  <c r="AM18" i="6" s="1"/>
  <c r="AG10" i="6"/>
  <c r="Y11" i="7"/>
  <c r="AA11" i="7" s="1"/>
  <c r="N12" i="7"/>
  <c r="T11" i="6"/>
  <c r="U11" i="6" s="1"/>
  <c r="AG21" i="7" l="1"/>
  <c r="AH21" i="7" s="1"/>
  <c r="AN18" i="6"/>
  <c r="AM19" i="6" s="1"/>
  <c r="S12" i="7"/>
  <c r="O12" i="7"/>
  <c r="Z12" i="7" s="1"/>
  <c r="AB11" i="6"/>
  <c r="R12" i="6"/>
  <c r="S12" i="6" s="1"/>
  <c r="AD11" i="6"/>
  <c r="AC11" i="6"/>
  <c r="Z11" i="6"/>
  <c r="AN19" i="6" l="1"/>
  <c r="AM20" i="6" s="1"/>
  <c r="AN20" i="6" s="1"/>
  <c r="AG22" i="7"/>
  <c r="AH22" i="7" s="1"/>
  <c r="AG11" i="6"/>
  <c r="P12" i="7"/>
  <c r="U12" i="7" s="1"/>
  <c r="S13" i="7" s="1"/>
  <c r="X12" i="6"/>
  <c r="AE12" i="6"/>
  <c r="AM21" i="6" l="1"/>
  <c r="AN21" i="6" s="1"/>
  <c r="AG23" i="7"/>
  <c r="AH23" i="7" s="1"/>
  <c r="N13" i="7"/>
  <c r="Y12" i="7"/>
  <c r="AA12" i="7" s="1"/>
  <c r="T12" i="6"/>
  <c r="U12" i="6" s="1"/>
  <c r="AM22" i="6" l="1"/>
  <c r="AN22" i="6" s="1"/>
  <c r="AG24" i="7"/>
  <c r="AH24" i="7" s="1"/>
  <c r="O13" i="7"/>
  <c r="Z13" i="7" s="1"/>
  <c r="R13" i="6"/>
  <c r="S13" i="6" s="1"/>
  <c r="AD12" i="6"/>
  <c r="AC12" i="6"/>
  <c r="AB12" i="6"/>
  <c r="Z12" i="6"/>
  <c r="AM23" i="6" l="1"/>
  <c r="AN23" i="6" s="1"/>
  <c r="AG25" i="7"/>
  <c r="AH25" i="7" s="1"/>
  <c r="AG12" i="6"/>
  <c r="P13" i="7"/>
  <c r="U13" i="7" s="1"/>
  <c r="AE13" i="6"/>
  <c r="X13" i="6"/>
  <c r="AM24" i="6" l="1"/>
  <c r="AN24" i="6" s="1"/>
  <c r="AG26" i="7"/>
  <c r="AH26" i="7" s="1"/>
  <c r="N14" i="7"/>
  <c r="O14" i="7" s="1"/>
  <c r="Z14" i="7" s="1"/>
  <c r="Y13" i="7"/>
  <c r="AA13" i="7" s="1"/>
  <c r="T13" i="6"/>
  <c r="U13" i="6" s="1"/>
  <c r="S14" i="7"/>
  <c r="AG27" i="7" l="1"/>
  <c r="AH27" i="7" s="1"/>
  <c r="AM3" i="6"/>
  <c r="AM2" i="6"/>
  <c r="AN3" i="6"/>
  <c r="AN2" i="6"/>
  <c r="P14" i="7"/>
  <c r="R14" i="6"/>
  <c r="S14" i="6" s="1"/>
  <c r="AD13" i="6"/>
  <c r="AC13" i="6"/>
  <c r="AB13" i="6"/>
  <c r="Z13" i="6"/>
  <c r="AG28" i="7" l="1"/>
  <c r="AH28" i="7" s="1"/>
  <c r="AG13" i="6"/>
  <c r="U14" i="7"/>
  <c r="S15" i="7" s="1"/>
  <c r="N15" i="7"/>
  <c r="Y14" i="7"/>
  <c r="AA14" i="7" s="1"/>
  <c r="X14" i="6"/>
  <c r="AE14" i="6"/>
  <c r="AG29" i="7" l="1"/>
  <c r="AH29" i="7" s="1"/>
  <c r="O15" i="7"/>
  <c r="Z15" i="7" s="1"/>
  <c r="T14" i="6"/>
  <c r="U14" i="6" s="1"/>
  <c r="AB14" i="6" s="1"/>
  <c r="AG30" i="7" l="1"/>
  <c r="AH30" i="7" s="1"/>
  <c r="P15" i="7"/>
  <c r="Y15" i="7" s="1"/>
  <c r="AA15" i="7" s="1"/>
  <c r="AC14" i="6"/>
  <c r="Z14" i="6"/>
  <c r="X15" i="6" s="1"/>
  <c r="R15" i="6"/>
  <c r="S15" i="6" s="1"/>
  <c r="AD14" i="6"/>
  <c r="AE15" i="6" l="1"/>
  <c r="U15" i="7"/>
  <c r="S16" i="7" s="1"/>
  <c r="AG31" i="7"/>
  <c r="AH31" i="7" s="1"/>
  <c r="AG14" i="6"/>
  <c r="N16" i="7"/>
  <c r="O16" i="7" s="1"/>
  <c r="Z16" i="7" s="1"/>
  <c r="T15" i="6"/>
  <c r="U15" i="6" s="1"/>
  <c r="AB15" i="6" s="1"/>
  <c r="AG32" i="7" l="1"/>
  <c r="AH32" i="7" s="1"/>
  <c r="Z15" i="6"/>
  <c r="X16" i="6" s="1"/>
  <c r="R16" i="6"/>
  <c r="S16" i="6" s="1"/>
  <c r="AC15" i="6"/>
  <c r="AD15" i="6"/>
  <c r="P16" i="7"/>
  <c r="U16" i="7" s="1"/>
  <c r="AE16" i="6" l="1"/>
  <c r="AG33" i="7"/>
  <c r="AH33" i="7" s="1"/>
  <c r="T16" i="6"/>
  <c r="U16" i="6" s="1"/>
  <c r="AD16" i="6" s="1"/>
  <c r="AG15" i="6"/>
  <c r="S17" i="7"/>
  <c r="N17" i="7"/>
  <c r="Y16" i="7"/>
  <c r="AA16" i="7" s="1"/>
  <c r="AG34" i="7" l="1"/>
  <c r="AH34" i="7" s="1"/>
  <c r="R17" i="6"/>
  <c r="S17" i="6" s="1"/>
  <c r="AE17" i="6" s="1"/>
  <c r="AB16" i="6"/>
  <c r="AC16" i="6"/>
  <c r="Z16" i="6"/>
  <c r="X17" i="6" s="1"/>
  <c r="O17" i="7"/>
  <c r="Z17" i="7" s="1"/>
  <c r="AG35" i="7" l="1"/>
  <c r="AH35" i="7" s="1"/>
  <c r="AG16" i="6"/>
  <c r="P17" i="7"/>
  <c r="N18" i="7" s="1"/>
  <c r="T17" i="6"/>
  <c r="U17" i="6" s="1"/>
  <c r="AG36" i="7" l="1"/>
  <c r="AH36" i="7" s="1"/>
  <c r="U17" i="7"/>
  <c r="S18" i="7" s="1"/>
  <c r="Y17" i="7"/>
  <c r="AA17" i="7" s="1"/>
  <c r="O18" i="7"/>
  <c r="Z18" i="7" s="1"/>
  <c r="Z17" i="6"/>
  <c r="X18" i="6" s="1"/>
  <c r="AC17" i="6"/>
  <c r="R18" i="6"/>
  <c r="S18" i="6" s="1"/>
  <c r="AB17" i="6"/>
  <c r="AD17" i="6"/>
  <c r="AG37" i="7" l="1"/>
  <c r="AH37" i="7" s="1"/>
  <c r="AG17" i="6"/>
  <c r="P18" i="7"/>
  <c r="U18" i="7" s="1"/>
  <c r="AE18" i="6"/>
  <c r="AG38" i="7" l="1"/>
  <c r="AH38" i="7" s="1"/>
  <c r="Y18" i="7"/>
  <c r="AA18" i="7" s="1"/>
  <c r="N19" i="7"/>
  <c r="O19" i="7" s="1"/>
  <c r="Z19" i="7" s="1"/>
  <c r="T18" i="6"/>
  <c r="U18" i="6" s="1"/>
  <c r="AD18" i="6" s="1"/>
  <c r="S19" i="7"/>
  <c r="AG39" i="7" l="1"/>
  <c r="AH39" i="7" s="1"/>
  <c r="R19" i="6"/>
  <c r="S19" i="6" s="1"/>
  <c r="AB18" i="6"/>
  <c r="Z18" i="6"/>
  <c r="X19" i="6" s="1"/>
  <c r="AC18" i="6"/>
  <c r="P19" i="7"/>
  <c r="U19" i="7" s="1"/>
  <c r="AE19" i="6" l="1"/>
  <c r="AG40" i="7"/>
  <c r="AH40" i="7" s="1"/>
  <c r="AG18" i="6"/>
  <c r="T19" i="6"/>
  <c r="U19" i="6" s="1"/>
  <c r="N20" i="7"/>
  <c r="Y19" i="7"/>
  <c r="AA19" i="7" s="1"/>
  <c r="AG41" i="7" l="1"/>
  <c r="AH41" i="7" s="1"/>
  <c r="AB19" i="6"/>
  <c r="R20" i="6"/>
  <c r="S20" i="6" s="1"/>
  <c r="AC19" i="6"/>
  <c r="AD19" i="6"/>
  <c r="Z19" i="6"/>
  <c r="X20" i="6" s="1"/>
  <c r="S20" i="7"/>
  <c r="O20" i="7"/>
  <c r="Z20" i="7" s="1"/>
  <c r="T20" i="6" l="1"/>
  <c r="U20" i="6" s="1"/>
  <c r="Z20" i="6" s="1"/>
  <c r="X21" i="6" s="1"/>
  <c r="AG42" i="7"/>
  <c r="AH42" i="7" s="1"/>
  <c r="AG19" i="6"/>
  <c r="P20" i="7"/>
  <c r="U20" i="7" s="1"/>
  <c r="AE20" i="6" l="1"/>
  <c r="AG43" i="7"/>
  <c r="AH43" i="7" s="1"/>
  <c r="AC20" i="6"/>
  <c r="AD20" i="6"/>
  <c r="R21" i="6"/>
  <c r="S21" i="6" s="1"/>
  <c r="AB20" i="6"/>
  <c r="N21" i="7"/>
  <c r="S21" i="7"/>
  <c r="Y20" i="7"/>
  <c r="AA20" i="7" s="1"/>
  <c r="AE21" i="6" l="1"/>
  <c r="AG20" i="6"/>
  <c r="AG44" i="7"/>
  <c r="AH44" i="7" s="1"/>
  <c r="O21" i="7"/>
  <c r="Z21" i="7" s="1"/>
  <c r="T21" i="6" l="1"/>
  <c r="U21" i="6" s="1"/>
  <c r="Z21" i="6" s="1"/>
  <c r="X22" i="6" s="1"/>
  <c r="AG45" i="7"/>
  <c r="AH45" i="7" s="1"/>
  <c r="P21" i="7"/>
  <c r="Y21" i="7" s="1"/>
  <c r="AA21" i="7" s="1"/>
  <c r="AC21" i="6" l="1"/>
  <c r="AD21" i="6"/>
  <c r="R22" i="6"/>
  <c r="S22" i="6" s="1"/>
  <c r="AE22" i="6" s="1"/>
  <c r="AB21" i="6"/>
  <c r="AG46" i="7"/>
  <c r="AH46" i="7" s="1"/>
  <c r="U21" i="7"/>
  <c r="S22" i="7" s="1"/>
  <c r="N22" i="7"/>
  <c r="O22" i="7" s="1"/>
  <c r="Z22" i="7" s="1"/>
  <c r="AG21" i="6" l="1"/>
  <c r="T22" i="6"/>
  <c r="U22" i="6" s="1"/>
  <c r="AC22" i="6" s="1"/>
  <c r="AG47" i="7"/>
  <c r="AH47" i="7" s="1"/>
  <c r="P22" i="7"/>
  <c r="U22" i="7" s="1"/>
  <c r="AB22" i="6" l="1"/>
  <c r="R23" i="6"/>
  <c r="S23" i="6" s="1"/>
  <c r="AE23" i="6" s="1"/>
  <c r="AD22" i="6"/>
  <c r="Z22" i="6"/>
  <c r="X23" i="6" s="1"/>
  <c r="AG48" i="7"/>
  <c r="AH48" i="7" s="1"/>
  <c r="N23" i="7"/>
  <c r="Y22" i="7"/>
  <c r="AA22" i="7" s="1"/>
  <c r="T23" i="6" l="1"/>
  <c r="U23" i="6" s="1"/>
  <c r="R24" i="6" s="1"/>
  <c r="S24" i="6" s="1"/>
  <c r="AE24" i="6" s="1"/>
  <c r="AG22" i="6"/>
  <c r="AG49" i="7"/>
  <c r="AH49" i="7" s="1"/>
  <c r="O23" i="7"/>
  <c r="Z23" i="7" s="1"/>
  <c r="S23" i="7"/>
  <c r="AC23" i="6" l="1"/>
  <c r="Z23" i="6"/>
  <c r="X24" i="6" s="1"/>
  <c r="AD23" i="6"/>
  <c r="AB23" i="6"/>
  <c r="AG50" i="7"/>
  <c r="AH50" i="7" s="1"/>
  <c r="P23" i="7"/>
  <c r="T24" i="6"/>
  <c r="U24" i="6" s="1"/>
  <c r="AG23" i="6" l="1"/>
  <c r="AG51" i="7"/>
  <c r="AH51" i="7" s="1"/>
  <c r="N24" i="7"/>
  <c r="U23" i="7"/>
  <c r="S24" i="7" s="1"/>
  <c r="AB24" i="6"/>
  <c r="Z24" i="6"/>
  <c r="AD24" i="6"/>
  <c r="AC24" i="6"/>
  <c r="Y23" i="7"/>
  <c r="AA23" i="7" s="1"/>
  <c r="AG52" i="7" l="1"/>
  <c r="AH52" i="7" s="1"/>
  <c r="AG24" i="6"/>
  <c r="O24" i="7"/>
  <c r="Z24" i="7" s="1"/>
  <c r="Z96" i="7" l="1"/>
  <c r="Z97" i="7"/>
  <c r="Z95" i="7"/>
  <c r="AG53" i="7"/>
  <c r="AH53" i="7" s="1"/>
  <c r="AE27" i="6"/>
  <c r="AE28" i="6"/>
  <c r="AE26" i="6"/>
  <c r="P24" i="7"/>
  <c r="N25" i="7" s="1"/>
  <c r="AG54" i="7" l="1"/>
  <c r="AH54" i="7" s="1"/>
  <c r="AD26" i="6"/>
  <c r="AD27" i="6"/>
  <c r="AD28" i="6"/>
  <c r="AB26" i="6"/>
  <c r="AB28" i="6"/>
  <c r="AB27" i="6"/>
  <c r="Y24" i="7"/>
  <c r="U24" i="7"/>
  <c r="S25" i="7" s="1"/>
  <c r="O25" i="7"/>
  <c r="Z25" i="7" s="1"/>
  <c r="AA24" i="7" l="1"/>
  <c r="Y95" i="7"/>
  <c r="Y97" i="7"/>
  <c r="Y96" i="7"/>
  <c r="AG55" i="7"/>
  <c r="AH55" i="7" s="1"/>
  <c r="AG27" i="6"/>
  <c r="AG28" i="6"/>
  <c r="AG26" i="6"/>
  <c r="AC28" i="6"/>
  <c r="AC26" i="6"/>
  <c r="AC27" i="6"/>
  <c r="P25" i="7"/>
  <c r="AA95" i="7" l="1"/>
  <c r="AA97" i="7"/>
  <c r="AA96" i="7"/>
  <c r="AG56" i="7"/>
  <c r="AH56" i="7" s="1"/>
  <c r="U25" i="7"/>
  <c r="N26" i="7"/>
  <c r="Y25" i="7"/>
  <c r="AA25" i="7" s="1"/>
  <c r="AG57" i="7" l="1"/>
  <c r="AH57" i="7" s="1"/>
  <c r="S26" i="7"/>
  <c r="O26" i="7"/>
  <c r="Z26" i="7" s="1"/>
  <c r="AG58" i="7" l="1"/>
  <c r="AH58" i="7" s="1"/>
  <c r="P26" i="7"/>
  <c r="AG59" i="7" l="1"/>
  <c r="AH59" i="7" s="1"/>
  <c r="U26" i="7"/>
  <c r="N27" i="7"/>
  <c r="Y26" i="7"/>
  <c r="AA26" i="7" s="1"/>
  <c r="AG60" i="7" l="1"/>
  <c r="AH60" i="7" s="1"/>
  <c r="S27" i="7"/>
  <c r="O27" i="7"/>
  <c r="Z27" i="7" s="1"/>
  <c r="AG61" i="7" l="1"/>
  <c r="AH61" i="7" s="1"/>
  <c r="P27" i="7"/>
  <c r="U27" i="7" s="1"/>
  <c r="AG62" i="7" l="1"/>
  <c r="AH62" i="7" s="1"/>
  <c r="Y27" i="7"/>
  <c r="AA27" i="7" s="1"/>
  <c r="N28" i="7"/>
  <c r="AG63" i="7" l="1"/>
  <c r="AH63" i="7" s="1"/>
  <c r="S28" i="7"/>
  <c r="O28" i="7"/>
  <c r="Z28" i="7" s="1"/>
  <c r="AG64" i="7" l="1"/>
  <c r="AH64" i="7" s="1"/>
  <c r="P28" i="7"/>
  <c r="U28" i="7" s="1"/>
  <c r="AG65" i="7" l="1"/>
  <c r="AH65" i="7" s="1"/>
  <c r="Y28" i="7"/>
  <c r="AA28" i="7" s="1"/>
  <c r="N29" i="7"/>
  <c r="AG66" i="7" l="1"/>
  <c r="AH66" i="7" s="1"/>
  <c r="S29" i="7"/>
  <c r="O29" i="7"/>
  <c r="Z29" i="7" s="1"/>
  <c r="AG67" i="7" l="1"/>
  <c r="AH67" i="7" s="1"/>
  <c r="P29" i="7"/>
  <c r="U29" i="7" s="1"/>
  <c r="AG68" i="7" l="1"/>
  <c r="AH68" i="7" s="1"/>
  <c r="Y29" i="7"/>
  <c r="AA29" i="7" s="1"/>
  <c r="N30" i="7"/>
  <c r="AG69" i="7" l="1"/>
  <c r="AH69" i="7" s="1"/>
  <c r="O30" i="7"/>
  <c r="Z30" i="7" s="1"/>
  <c r="S30" i="7"/>
  <c r="AG70" i="7" l="1"/>
  <c r="AH70" i="7" s="1"/>
  <c r="P30" i="7"/>
  <c r="U30" i="7" s="1"/>
  <c r="AG71" i="7" l="1"/>
  <c r="AH71" i="7" s="1"/>
  <c r="N31" i="7"/>
  <c r="Y30" i="7"/>
  <c r="AA30" i="7" s="1"/>
  <c r="AG72" i="7" l="1"/>
  <c r="AH72" i="7" s="1"/>
  <c r="S31" i="7"/>
  <c r="O31" i="7"/>
  <c r="Z31" i="7" s="1"/>
  <c r="AG73" i="7" l="1"/>
  <c r="AH73" i="7" s="1"/>
  <c r="P31" i="7"/>
  <c r="AG74" i="7" l="1"/>
  <c r="AH74" i="7" s="1"/>
  <c r="N32" i="7"/>
  <c r="U31" i="7"/>
  <c r="S32" i="7" s="1"/>
  <c r="Y31" i="7"/>
  <c r="AA31" i="7" s="1"/>
  <c r="AG75" i="7" l="1"/>
  <c r="AH75" i="7" s="1"/>
  <c r="O32" i="7"/>
  <c r="Z32" i="7" s="1"/>
  <c r="AG76" i="7" l="1"/>
  <c r="AH76" i="7" s="1"/>
  <c r="P32" i="7"/>
  <c r="U32" i="7" s="1"/>
  <c r="AG77" i="7" l="1"/>
  <c r="AH77" i="7" s="1"/>
  <c r="Y32" i="7"/>
  <c r="AA32" i="7" s="1"/>
  <c r="N33" i="7"/>
  <c r="O33" i="7" s="1"/>
  <c r="Z33" i="7" s="1"/>
  <c r="S33" i="7"/>
  <c r="AG78" i="7" l="1"/>
  <c r="AH78" i="7" s="1"/>
  <c r="P33" i="7"/>
  <c r="U33" i="7" s="1"/>
  <c r="AG79" i="7" l="1"/>
  <c r="AH79" i="7" s="1"/>
  <c r="Y33" i="7"/>
  <c r="AA33" i="7" s="1"/>
  <c r="N34" i="7"/>
  <c r="AG80" i="7" l="1"/>
  <c r="AH80" i="7" s="1"/>
  <c r="S34" i="7"/>
  <c r="O34" i="7"/>
  <c r="Z34" i="7" s="1"/>
  <c r="AG3" i="7" l="1"/>
  <c r="AG2" i="7"/>
  <c r="P34" i="7"/>
  <c r="U34" i="7" s="1"/>
  <c r="AG81" i="7"/>
  <c r="AH2" i="7"/>
  <c r="AH3" i="7"/>
  <c r="AI2" i="7" l="1"/>
  <c r="AI3" i="7"/>
  <c r="AH81" i="7"/>
  <c r="N35" i="7"/>
  <c r="Y34" i="7"/>
  <c r="AA34" i="7" s="1"/>
  <c r="AG82" i="7" l="1"/>
  <c r="S35" i="7"/>
  <c r="O35" i="7"/>
  <c r="Z35" i="7" s="1"/>
  <c r="P35" i="7" l="1"/>
  <c r="AH82" i="7"/>
  <c r="AG83" i="7" l="1"/>
  <c r="AH83" i="7" s="1"/>
  <c r="U35" i="7"/>
  <c r="AG84" i="7" l="1"/>
  <c r="AH84" i="7" s="1"/>
  <c r="Y35" i="7"/>
  <c r="AA35" i="7" s="1"/>
  <c r="N36" i="7"/>
  <c r="S36" i="7"/>
  <c r="AG85" i="7" l="1"/>
  <c r="AH85" i="7" s="1"/>
  <c r="O36" i="7"/>
  <c r="AG86" i="7" l="1"/>
  <c r="AH86" i="7" s="1"/>
  <c r="P36" i="7"/>
  <c r="U36" i="7" s="1"/>
  <c r="Z36" i="7"/>
  <c r="AG87" i="7" l="1"/>
  <c r="AH87" i="7" s="1"/>
  <c r="S37" i="7"/>
  <c r="N37" i="7"/>
  <c r="Y36" i="7"/>
  <c r="AA36" i="7" s="1"/>
  <c r="AG88" i="7" l="1"/>
  <c r="AH88" i="7" s="1"/>
  <c r="O37" i="7"/>
  <c r="Z37" i="7" s="1"/>
  <c r="AG89" i="7" l="1"/>
  <c r="AH89" i="7" s="1"/>
  <c r="P37" i="7"/>
  <c r="N38" i="7" s="1"/>
  <c r="AG90" i="7" l="1"/>
  <c r="U37" i="7"/>
  <c r="S38" i="7" s="1"/>
  <c r="Y37" i="7"/>
  <c r="AA37" i="7" s="1"/>
  <c r="O38" i="7"/>
  <c r="Z38" i="7" s="1"/>
  <c r="AH90" i="7" l="1"/>
  <c r="AI8" i="7" s="1"/>
  <c r="I8" i="7" s="1"/>
  <c r="J8" i="7" s="1"/>
  <c r="T8" i="7" s="1"/>
  <c r="R9" i="7" s="1"/>
  <c r="P38" i="7"/>
  <c r="AI54" i="7" l="1"/>
  <c r="I54" i="7" s="1"/>
  <c r="J54" i="7" s="1"/>
  <c r="AI60" i="7"/>
  <c r="I60" i="7" s="1"/>
  <c r="J60" i="7" s="1"/>
  <c r="AI45" i="7"/>
  <c r="I45" i="7" s="1"/>
  <c r="J45" i="7" s="1"/>
  <c r="AI51" i="7"/>
  <c r="I51" i="7" s="1"/>
  <c r="J51" i="7" s="1"/>
  <c r="AI46" i="7"/>
  <c r="I46" i="7" s="1"/>
  <c r="J46" i="7" s="1"/>
  <c r="AI84" i="7"/>
  <c r="I84" i="7" s="1"/>
  <c r="J84" i="7" s="1"/>
  <c r="AI15" i="7"/>
  <c r="I15" i="7" s="1"/>
  <c r="J15" i="7" s="1"/>
  <c r="T15" i="7" s="1"/>
  <c r="R16" i="7" s="1"/>
  <c r="AC16" i="7" s="1"/>
  <c r="AI86" i="7"/>
  <c r="I86" i="7" s="1"/>
  <c r="J86" i="7" s="1"/>
  <c r="AI14" i="7"/>
  <c r="I14" i="7" s="1"/>
  <c r="J14" i="7" s="1"/>
  <c r="T14" i="7" s="1"/>
  <c r="R15" i="7" s="1"/>
  <c r="AI80" i="7"/>
  <c r="I80" i="7" s="1"/>
  <c r="J80" i="7" s="1"/>
  <c r="AI9" i="7"/>
  <c r="I9" i="7" s="1"/>
  <c r="J9" i="7" s="1"/>
  <c r="T9" i="7" s="1"/>
  <c r="R10" i="7" s="1"/>
  <c r="AC10" i="7" s="1"/>
  <c r="AI64" i="7"/>
  <c r="I64" i="7" s="1"/>
  <c r="J64" i="7" s="1"/>
  <c r="AI12" i="7"/>
  <c r="I12" i="7" s="1"/>
  <c r="J12" i="7" s="1"/>
  <c r="T12" i="7" s="1"/>
  <c r="R13" i="7" s="1"/>
  <c r="AC13" i="7" s="1"/>
  <c r="AG91" i="7"/>
  <c r="AH91" i="7" s="1"/>
  <c r="AG92" i="7" s="1"/>
  <c r="AI75" i="7"/>
  <c r="I75" i="7" s="1"/>
  <c r="J75" i="7" s="1"/>
  <c r="AI44" i="7"/>
  <c r="I44" i="7" s="1"/>
  <c r="J44" i="7" s="1"/>
  <c r="AI71" i="7"/>
  <c r="I71" i="7" s="1"/>
  <c r="J71" i="7" s="1"/>
  <c r="AI27" i="7"/>
  <c r="I27" i="7" s="1"/>
  <c r="J27" i="7" s="1"/>
  <c r="T27" i="7" s="1"/>
  <c r="R28" i="7" s="1"/>
  <c r="AC28" i="7" s="1"/>
  <c r="AI72" i="7"/>
  <c r="I72" i="7" s="1"/>
  <c r="J72" i="7" s="1"/>
  <c r="AI35" i="7"/>
  <c r="I35" i="7" s="1"/>
  <c r="J35" i="7" s="1"/>
  <c r="T35" i="7" s="1"/>
  <c r="R36" i="7" s="1"/>
  <c r="AC36" i="7" s="1"/>
  <c r="AI66" i="7"/>
  <c r="I66" i="7" s="1"/>
  <c r="J66" i="7" s="1"/>
  <c r="AI33" i="7"/>
  <c r="I33" i="7" s="1"/>
  <c r="J33" i="7" s="1"/>
  <c r="T33" i="7" s="1"/>
  <c r="R34" i="7" s="1"/>
  <c r="AC34" i="7" s="1"/>
  <c r="AI81" i="7"/>
  <c r="I81" i="7" s="1"/>
  <c r="J81" i="7" s="1"/>
  <c r="AI56" i="7"/>
  <c r="I56" i="7" s="1"/>
  <c r="J56" i="7" s="1"/>
  <c r="AI34" i="7"/>
  <c r="I34" i="7" s="1"/>
  <c r="J34" i="7" s="1"/>
  <c r="T34" i="7" s="1"/>
  <c r="R35" i="7" s="1"/>
  <c r="AC35" i="7" s="1"/>
  <c r="AI74" i="7"/>
  <c r="I74" i="7" s="1"/>
  <c r="J74" i="7" s="1"/>
  <c r="AI53" i="7"/>
  <c r="I53" i="7" s="1"/>
  <c r="J53" i="7" s="1"/>
  <c r="AI28" i="7"/>
  <c r="I28" i="7" s="1"/>
  <c r="J28" i="7" s="1"/>
  <c r="T28" i="7" s="1"/>
  <c r="R29" i="7" s="1"/>
  <c r="AC29" i="7" s="1"/>
  <c r="AI26" i="7"/>
  <c r="I26" i="7" s="1"/>
  <c r="J26" i="7" s="1"/>
  <c r="T26" i="7" s="1"/>
  <c r="R27" i="7" s="1"/>
  <c r="AC27" i="7" s="1"/>
  <c r="AI62" i="7"/>
  <c r="I62" i="7" s="1"/>
  <c r="J62" i="7" s="1"/>
  <c r="AI43" i="7"/>
  <c r="I43" i="7" s="1"/>
  <c r="J43" i="7" s="1"/>
  <c r="AI23" i="7"/>
  <c r="I23" i="7" s="1"/>
  <c r="J23" i="7" s="1"/>
  <c r="T23" i="7" s="1"/>
  <c r="R24" i="7" s="1"/>
  <c r="AC24" i="7" s="1"/>
  <c r="AI73" i="7"/>
  <c r="I73" i="7" s="1"/>
  <c r="J73" i="7" s="1"/>
  <c r="AI57" i="7"/>
  <c r="I57" i="7" s="1"/>
  <c r="J57" i="7" s="1"/>
  <c r="AI39" i="7"/>
  <c r="I39" i="7" s="1"/>
  <c r="J39" i="7" s="1"/>
  <c r="AI16" i="7"/>
  <c r="I16" i="7" s="1"/>
  <c r="J16" i="7" s="1"/>
  <c r="T16" i="7" s="1"/>
  <c r="R17" i="7" s="1"/>
  <c r="AC17" i="7" s="1"/>
  <c r="AI88" i="7"/>
  <c r="I88" i="7" s="1"/>
  <c r="J88" i="7" s="1"/>
  <c r="AI67" i="7"/>
  <c r="I67" i="7" s="1"/>
  <c r="J67" i="7" s="1"/>
  <c r="AI52" i="7"/>
  <c r="I52" i="7" s="1"/>
  <c r="J52" i="7" s="1"/>
  <c r="AI37" i="7"/>
  <c r="I37" i="7" s="1"/>
  <c r="J37" i="7" s="1"/>
  <c r="T37" i="7" s="1"/>
  <c r="R38" i="7" s="1"/>
  <c r="AC38" i="7" s="1"/>
  <c r="AI24" i="7"/>
  <c r="I24" i="7" s="1"/>
  <c r="J24" i="7" s="1"/>
  <c r="T24" i="7" s="1"/>
  <c r="R25" i="7" s="1"/>
  <c r="AC25" i="7" s="1"/>
  <c r="AI48" i="7"/>
  <c r="I48" i="7" s="1"/>
  <c r="J48" i="7" s="1"/>
  <c r="AI69" i="7"/>
  <c r="I69" i="7" s="1"/>
  <c r="J69" i="7" s="1"/>
  <c r="AI32" i="7"/>
  <c r="I32" i="7" s="1"/>
  <c r="J32" i="7" s="1"/>
  <c r="T32" i="7" s="1"/>
  <c r="R33" i="7" s="1"/>
  <c r="AC33" i="7" s="1"/>
  <c r="AI22" i="7"/>
  <c r="I22" i="7" s="1"/>
  <c r="J22" i="7" s="1"/>
  <c r="T22" i="7" s="1"/>
  <c r="R23" i="7" s="1"/>
  <c r="AI68" i="7"/>
  <c r="I68" i="7" s="1"/>
  <c r="J68" i="7" s="1"/>
  <c r="AI58" i="7"/>
  <c r="I58" i="7" s="1"/>
  <c r="J58" i="7" s="1"/>
  <c r="AI50" i="7"/>
  <c r="I50" i="7" s="1"/>
  <c r="J50" i="7" s="1"/>
  <c r="AI40" i="7"/>
  <c r="I40" i="7" s="1"/>
  <c r="J40" i="7" s="1"/>
  <c r="AI31" i="7"/>
  <c r="I31" i="7" s="1"/>
  <c r="J31" i="7" s="1"/>
  <c r="T31" i="7" s="1"/>
  <c r="R32" i="7" s="1"/>
  <c r="AC32" i="7" s="1"/>
  <c r="AI20" i="7"/>
  <c r="I20" i="7" s="1"/>
  <c r="J20" i="7" s="1"/>
  <c r="T20" i="7" s="1"/>
  <c r="R21" i="7" s="1"/>
  <c r="AC21" i="7" s="1"/>
  <c r="AI6" i="7"/>
  <c r="I6" i="7" s="1"/>
  <c r="J6" i="7" s="1"/>
  <c r="T6" i="7" s="1"/>
  <c r="R7" i="7" s="1"/>
  <c r="AI79" i="7"/>
  <c r="I79" i="7" s="1"/>
  <c r="J79" i="7" s="1"/>
  <c r="AI61" i="7"/>
  <c r="I61" i="7" s="1"/>
  <c r="J61" i="7" s="1"/>
  <c r="AI42" i="7"/>
  <c r="I42" i="7" s="1"/>
  <c r="J42" i="7" s="1"/>
  <c r="AI7" i="7"/>
  <c r="I7" i="7" s="1"/>
  <c r="J7" i="7" s="1"/>
  <c r="T7" i="7" s="1"/>
  <c r="R8" i="7" s="1"/>
  <c r="AC8" i="7" s="1"/>
  <c r="AI77" i="7"/>
  <c r="I77" i="7" s="1"/>
  <c r="J77" i="7" s="1"/>
  <c r="AI76" i="7"/>
  <c r="I76" i="7" s="1"/>
  <c r="J76" i="7" s="1"/>
  <c r="AI65" i="7"/>
  <c r="I65" i="7" s="1"/>
  <c r="J65" i="7" s="1"/>
  <c r="AI59" i="7"/>
  <c r="I59" i="7" s="1"/>
  <c r="J59" i="7" s="1"/>
  <c r="AI49" i="7"/>
  <c r="I49" i="7" s="1"/>
  <c r="J49" i="7" s="1"/>
  <c r="AI41" i="7"/>
  <c r="I41" i="7" s="1"/>
  <c r="J41" i="7" s="1"/>
  <c r="AI30" i="7"/>
  <c r="I30" i="7" s="1"/>
  <c r="J30" i="7" s="1"/>
  <c r="T30" i="7" s="1"/>
  <c r="R31" i="7" s="1"/>
  <c r="AC31" i="7" s="1"/>
  <c r="AI18" i="7"/>
  <c r="I18" i="7" s="1"/>
  <c r="J18" i="7" s="1"/>
  <c r="T18" i="7" s="1"/>
  <c r="R19" i="7" s="1"/>
  <c r="AC19" i="7" s="1"/>
  <c r="AI5" i="7"/>
  <c r="I5" i="7" s="1"/>
  <c r="AI21" i="7"/>
  <c r="I21" i="7" s="1"/>
  <c r="J21" i="7" s="1"/>
  <c r="T21" i="7" s="1"/>
  <c r="R22" i="7" s="1"/>
  <c r="AC22" i="7" s="1"/>
  <c r="AI13" i="7"/>
  <c r="I13" i="7" s="1"/>
  <c r="J13" i="7" s="1"/>
  <c r="T13" i="7" s="1"/>
  <c r="R14" i="7" s="1"/>
  <c r="AC14" i="7" s="1"/>
  <c r="AI10" i="7"/>
  <c r="I10" i="7" s="1"/>
  <c r="J10" i="7" s="1"/>
  <c r="T10" i="7" s="1"/>
  <c r="R11" i="7" s="1"/>
  <c r="AC11" i="7" s="1"/>
  <c r="AI78" i="7"/>
  <c r="I78" i="7" s="1"/>
  <c r="J78" i="7" s="1"/>
  <c r="AI70" i="7"/>
  <c r="I70" i="7" s="1"/>
  <c r="J70" i="7" s="1"/>
  <c r="AI63" i="7"/>
  <c r="I63" i="7" s="1"/>
  <c r="J63" i="7" s="1"/>
  <c r="AI55" i="7"/>
  <c r="I55" i="7" s="1"/>
  <c r="J55" i="7" s="1"/>
  <c r="AI47" i="7"/>
  <c r="I47" i="7" s="1"/>
  <c r="J47" i="7" s="1"/>
  <c r="AI38" i="7"/>
  <c r="I38" i="7" s="1"/>
  <c r="J38" i="7" s="1"/>
  <c r="AI29" i="7"/>
  <c r="I29" i="7" s="1"/>
  <c r="J29" i="7" s="1"/>
  <c r="T29" i="7" s="1"/>
  <c r="R30" i="7" s="1"/>
  <c r="AI19" i="7"/>
  <c r="I19" i="7" s="1"/>
  <c r="J19" i="7" s="1"/>
  <c r="T19" i="7" s="1"/>
  <c r="R20" i="7" s="1"/>
  <c r="AC20" i="7" s="1"/>
  <c r="AI11" i="7"/>
  <c r="I11" i="7" s="1"/>
  <c r="J11" i="7" s="1"/>
  <c r="T11" i="7" s="1"/>
  <c r="R12" i="7" s="1"/>
  <c r="AC12" i="7" s="1"/>
  <c r="AI36" i="7"/>
  <c r="I36" i="7" s="1"/>
  <c r="J36" i="7" s="1"/>
  <c r="T36" i="7" s="1"/>
  <c r="R37" i="7" s="1"/>
  <c r="AC37" i="7" s="1"/>
  <c r="AI25" i="7"/>
  <c r="I25" i="7" s="1"/>
  <c r="J25" i="7" s="1"/>
  <c r="T25" i="7" s="1"/>
  <c r="R26" i="7" s="1"/>
  <c r="AI17" i="7"/>
  <c r="I17" i="7" s="1"/>
  <c r="J17" i="7" s="1"/>
  <c r="T17" i="7" s="1"/>
  <c r="R18" i="7" s="1"/>
  <c r="AC18" i="7" s="1"/>
  <c r="AI89" i="7"/>
  <c r="I89" i="7" s="1"/>
  <c r="J89" i="7" s="1"/>
  <c r="AI87" i="7"/>
  <c r="I87" i="7" s="1"/>
  <c r="J87" i="7" s="1"/>
  <c r="AI83" i="7"/>
  <c r="I83" i="7" s="1"/>
  <c r="J83" i="7" s="1"/>
  <c r="AI82" i="7"/>
  <c r="I82" i="7" s="1"/>
  <c r="J82" i="7" s="1"/>
  <c r="AI85" i="7"/>
  <c r="I85" i="7" s="1"/>
  <c r="J85" i="7" s="1"/>
  <c r="AC9" i="7"/>
  <c r="U38" i="7"/>
  <c r="AB9" i="7" l="1"/>
  <c r="AD9" i="7" s="1"/>
  <c r="J5" i="7"/>
  <c r="T5" i="7" s="1"/>
  <c r="R6" i="7" s="1"/>
  <c r="AB15" i="7"/>
  <c r="AC15" i="7"/>
  <c r="AB35" i="7"/>
  <c r="AD35" i="7" s="1"/>
  <c r="AB34" i="7"/>
  <c r="AD34" i="7" s="1"/>
  <c r="AB26" i="7"/>
  <c r="AB27" i="7"/>
  <c r="AD27" i="7" s="1"/>
  <c r="AB28" i="7"/>
  <c r="AD28" i="7" s="1"/>
  <c r="AB23" i="7"/>
  <c r="AC23" i="7"/>
  <c r="AB16" i="7"/>
  <c r="AD16" i="7" s="1"/>
  <c r="AB12" i="7"/>
  <c r="AD12" i="7" s="1"/>
  <c r="AC26" i="7"/>
  <c r="AB22" i="7"/>
  <c r="AD22" i="7" s="1"/>
  <c r="AB13" i="7"/>
  <c r="AD13" i="7" s="1"/>
  <c r="AB14" i="7"/>
  <c r="AD14" i="7" s="1"/>
  <c r="AB32" i="7"/>
  <c r="AD32" i="7" s="1"/>
  <c r="AB21" i="7"/>
  <c r="AD21" i="7" s="1"/>
  <c r="AB11" i="7"/>
  <c r="AD11" i="7" s="1"/>
  <c r="AB24" i="7"/>
  <c r="AD24" i="7" s="1"/>
  <c r="AB31" i="7"/>
  <c r="AD31" i="7" s="1"/>
  <c r="AB7" i="7"/>
  <c r="AC7" i="7"/>
  <c r="AB8" i="7"/>
  <c r="AD8" i="7" s="1"/>
  <c r="AB10" i="7"/>
  <c r="AD10" i="7" s="1"/>
  <c r="AB33" i="7"/>
  <c r="AD33" i="7" s="1"/>
  <c r="AB30" i="7"/>
  <c r="AC30" i="7"/>
  <c r="AB17" i="7"/>
  <c r="AD17" i="7" s="1"/>
  <c r="AB18" i="7"/>
  <c r="AD18" i="7" s="1"/>
  <c r="AB20" i="7"/>
  <c r="AD20" i="7" s="1"/>
  <c r="AB29" i="7"/>
  <c r="AD29" i="7" s="1"/>
  <c r="AB19" i="7"/>
  <c r="AD19" i="7" s="1"/>
  <c r="AB36" i="7"/>
  <c r="AD36" i="7" s="1"/>
  <c r="AB25" i="7"/>
  <c r="AD25" i="7" s="1"/>
  <c r="AB37" i="7"/>
  <c r="AD37" i="7" s="1"/>
  <c r="AH92" i="7"/>
  <c r="AG93" i="7" s="1"/>
  <c r="Y38" i="7"/>
  <c r="AA38" i="7" s="1"/>
  <c r="T38" i="7"/>
  <c r="AB38" i="7" s="1"/>
  <c r="N39" i="7"/>
  <c r="S39" i="7"/>
  <c r="AB5" i="7" l="1"/>
  <c r="AC6" i="7"/>
  <c r="AB6" i="7"/>
  <c r="AD15" i="7"/>
  <c r="AD23" i="7"/>
  <c r="AD26" i="7"/>
  <c r="AD7" i="7"/>
  <c r="AD30" i="7"/>
  <c r="AH93" i="7"/>
  <c r="AI93" i="7" s="1"/>
  <c r="I93" i="7" s="1"/>
  <c r="J93" i="7" s="1"/>
  <c r="AI92" i="7"/>
  <c r="I92" i="7" s="1"/>
  <c r="J92" i="7" s="1"/>
  <c r="AI90" i="7"/>
  <c r="I90" i="7" s="1"/>
  <c r="J90" i="7" s="1"/>
  <c r="AI91" i="7"/>
  <c r="I91" i="7" s="1"/>
  <c r="J91" i="7" s="1"/>
  <c r="O39" i="7"/>
  <c r="Z39" i="7" s="1"/>
  <c r="R39" i="7"/>
  <c r="AC39" i="7" s="1"/>
  <c r="AD38" i="7"/>
  <c r="AC95" i="7" l="1"/>
  <c r="AC96" i="7"/>
  <c r="AC97" i="7"/>
  <c r="AD5" i="7"/>
  <c r="AB95" i="7"/>
  <c r="AB96" i="7"/>
  <c r="AB97" i="7"/>
  <c r="AD6" i="7"/>
  <c r="P39" i="7"/>
  <c r="U39" i="7" s="1"/>
  <c r="AD97" i="7" l="1"/>
  <c r="AD96" i="7"/>
  <c r="AD95" i="7"/>
  <c r="N40" i="7"/>
  <c r="Y39" i="7"/>
  <c r="AA39" i="7" s="1"/>
  <c r="T39" i="7"/>
  <c r="R40" i="7" l="1"/>
  <c r="AB39" i="7"/>
  <c r="S40" i="7"/>
  <c r="O40" i="7"/>
  <c r="Z40" i="7" s="1"/>
  <c r="P40" i="7" l="1"/>
  <c r="AC40" i="7"/>
  <c r="AD39" i="7"/>
  <c r="U40" i="7" l="1"/>
  <c r="N41" i="7" l="1"/>
  <c r="Y40" i="7"/>
  <c r="AA40" i="7" s="1"/>
  <c r="T40" i="7"/>
  <c r="R41" i="7" l="1"/>
  <c r="AB40" i="7"/>
  <c r="S41" i="7"/>
  <c r="O41" i="7"/>
  <c r="Z41" i="7" s="1"/>
  <c r="P41" i="7" l="1"/>
  <c r="AC41" i="7"/>
  <c r="AD40" i="7"/>
  <c r="U41" i="7" l="1"/>
  <c r="Y41" i="7"/>
  <c r="AA41" i="7" s="1"/>
  <c r="N42" i="7"/>
  <c r="T41" i="7"/>
  <c r="R42" i="7" l="1"/>
  <c r="AB41" i="7"/>
  <c r="S42" i="7"/>
  <c r="O42" i="7"/>
  <c r="Z42" i="7" s="1"/>
  <c r="P42" i="7" l="1"/>
  <c r="AC42" i="7"/>
  <c r="AD41" i="7"/>
  <c r="U42" i="7" l="1"/>
  <c r="N43" i="7" l="1"/>
  <c r="Y42" i="7"/>
  <c r="AA42" i="7" s="1"/>
  <c r="T42" i="7"/>
  <c r="R43" i="7" l="1"/>
  <c r="AB42" i="7"/>
  <c r="S43" i="7"/>
  <c r="O43" i="7"/>
  <c r="Z43" i="7" s="1"/>
  <c r="P43" i="7" l="1"/>
  <c r="AC43" i="7"/>
  <c r="AD42" i="7"/>
  <c r="U43" i="7" l="1"/>
  <c r="Y43" i="7" l="1"/>
  <c r="AA43" i="7" s="1"/>
  <c r="N44" i="7"/>
  <c r="T43" i="7"/>
  <c r="R44" i="7" l="1"/>
  <c r="AB43" i="7"/>
  <c r="S44" i="7"/>
  <c r="O44" i="7"/>
  <c r="Z44" i="7" s="1"/>
  <c r="P44" i="7" l="1"/>
  <c r="AC44" i="7"/>
  <c r="AD43" i="7"/>
  <c r="U44" i="7" l="1"/>
  <c r="T44" i="7" l="1"/>
  <c r="AB44" i="7" s="1"/>
  <c r="Y44" i="7"/>
  <c r="AA44" i="7" s="1"/>
  <c r="N45" i="7"/>
  <c r="S45" i="7"/>
  <c r="R45" i="7" l="1"/>
  <c r="AC45" i="7" s="1"/>
  <c r="O45" i="7"/>
  <c r="Z45" i="7" s="1"/>
  <c r="AD44" i="7"/>
  <c r="P45" i="7" l="1"/>
  <c r="Y45" i="7" l="1"/>
  <c r="AA45" i="7" s="1"/>
  <c r="U45" i="7"/>
  <c r="S46" i="7" s="1"/>
  <c r="N46" i="7"/>
  <c r="T45" i="7"/>
  <c r="AB45" i="7" s="1"/>
  <c r="O46" i="7" l="1"/>
  <c r="Z46" i="7" s="1"/>
  <c r="R46" i="7"/>
  <c r="AC46" i="7" s="1"/>
  <c r="AD45" i="7"/>
  <c r="P46" i="7" l="1"/>
  <c r="U46" i="7" s="1"/>
  <c r="N47" i="7" l="1"/>
  <c r="O47" i="7" s="1"/>
  <c r="Z47" i="7" s="1"/>
  <c r="T46" i="7"/>
  <c r="AB46" i="7" s="1"/>
  <c r="Y46" i="7"/>
  <c r="AA46" i="7" s="1"/>
  <c r="S47" i="7"/>
  <c r="P47" i="7" l="1"/>
  <c r="R47" i="7"/>
  <c r="AC47" i="7" s="1"/>
  <c r="AD46" i="7"/>
  <c r="U47" i="7" l="1"/>
  <c r="N48" i="7" l="1"/>
  <c r="Y47" i="7"/>
  <c r="AA47" i="7" s="1"/>
  <c r="T47" i="7"/>
  <c r="R48" i="7" l="1"/>
  <c r="AB47" i="7"/>
  <c r="S48" i="7"/>
  <c r="O48" i="7"/>
  <c r="Z48" i="7" s="1"/>
  <c r="P48" i="7" l="1"/>
  <c r="AC48" i="7"/>
  <c r="AD47" i="7"/>
  <c r="Y48" i="7" l="1"/>
  <c r="AA48" i="7" s="1"/>
  <c r="T48" i="7" l="1"/>
  <c r="R49" i="7" s="1"/>
  <c r="U48" i="7"/>
  <c r="S49" i="7" s="1"/>
  <c r="N49" i="7"/>
  <c r="O49" i="7" l="1"/>
  <c r="Z49" i="7" s="1"/>
  <c r="AB48" i="7"/>
  <c r="AD48" i="7" s="1"/>
  <c r="AC49" i="7"/>
  <c r="P49" i="7" l="1"/>
  <c r="U49" i="7" s="1"/>
  <c r="N50" i="7" l="1"/>
  <c r="Y49" i="7"/>
  <c r="AA49" i="7" s="1"/>
  <c r="T49" i="7"/>
  <c r="R50" i="7" l="1"/>
  <c r="AB49" i="7"/>
  <c r="S50" i="7"/>
  <c r="O50" i="7"/>
  <c r="Z50" i="7" s="1"/>
  <c r="P50" i="7" l="1"/>
  <c r="AC50" i="7"/>
  <c r="AD49" i="7"/>
  <c r="U50" i="7" l="1"/>
  <c r="T50" i="7" l="1"/>
  <c r="AB50" i="7" s="1"/>
  <c r="N51" i="7"/>
  <c r="Y50" i="7"/>
  <c r="AA50" i="7" s="1"/>
  <c r="S51" i="7"/>
  <c r="O51" i="7" l="1"/>
  <c r="Z51" i="7" s="1"/>
  <c r="R51" i="7"/>
  <c r="AC51" i="7" s="1"/>
  <c r="AD50" i="7"/>
  <c r="P51" i="7" l="1"/>
  <c r="U51" i="7" s="1"/>
  <c r="Y51" i="7" l="1"/>
  <c r="AA51" i="7" s="1"/>
  <c r="N52" i="7"/>
  <c r="T51" i="7"/>
  <c r="R52" i="7" l="1"/>
  <c r="AB51" i="7"/>
  <c r="S52" i="7"/>
  <c r="O52" i="7"/>
  <c r="Z52" i="7" s="1"/>
  <c r="P52" i="7" l="1"/>
  <c r="AC52" i="7"/>
  <c r="AD51" i="7"/>
  <c r="U52" i="7" l="1"/>
  <c r="N53" i="7" l="1"/>
  <c r="Y52" i="7"/>
  <c r="AA52" i="7" s="1"/>
  <c r="T52" i="7"/>
  <c r="R53" i="7" l="1"/>
  <c r="AB52" i="7"/>
  <c r="S53" i="7"/>
  <c r="O53" i="7"/>
  <c r="Z53" i="7" s="1"/>
  <c r="P53" i="7" l="1"/>
  <c r="AC53" i="7"/>
  <c r="AD52" i="7"/>
  <c r="N54" i="7" l="1"/>
  <c r="U53" i="7"/>
  <c r="S54" i="7" s="1"/>
  <c r="T53" i="7"/>
  <c r="R54" i="7" s="1"/>
  <c r="Y53" i="7"/>
  <c r="AA53" i="7" s="1"/>
  <c r="O54" i="7" l="1"/>
  <c r="Z54" i="7" s="1"/>
  <c r="AC54" i="7"/>
  <c r="AB53" i="7"/>
  <c r="P54" i="7" l="1"/>
  <c r="U54" i="7" s="1"/>
  <c r="AD53" i="7"/>
  <c r="T54" i="7" l="1"/>
  <c r="AB54" i="7" s="1"/>
  <c r="Y54" i="7"/>
  <c r="AA54" i="7" s="1"/>
  <c r="N55" i="7"/>
  <c r="S55" i="7"/>
  <c r="R55" i="7" l="1"/>
  <c r="AC55" i="7" s="1"/>
  <c r="O55" i="7"/>
  <c r="Z55" i="7" s="1"/>
  <c r="AD54" i="7"/>
  <c r="P55" i="7" l="1"/>
  <c r="U55" i="7" s="1"/>
  <c r="Y55" i="7" l="1"/>
  <c r="AA55" i="7" s="1"/>
  <c r="N56" i="7"/>
  <c r="T55" i="7"/>
  <c r="R56" i="7" l="1"/>
  <c r="AB55" i="7"/>
  <c r="S56" i="7"/>
  <c r="O56" i="7"/>
  <c r="Z56" i="7" s="1"/>
  <c r="P56" i="7" l="1"/>
  <c r="AC56" i="7"/>
  <c r="AD55" i="7"/>
  <c r="U56" i="7" l="1"/>
  <c r="Y56" i="7"/>
  <c r="AA56" i="7" s="1"/>
  <c r="N57" i="7"/>
  <c r="T56" i="7"/>
  <c r="R57" i="7" l="1"/>
  <c r="AB56" i="7"/>
  <c r="S57" i="7"/>
  <c r="O57" i="7"/>
  <c r="Z57" i="7" s="1"/>
  <c r="P57" i="7" l="1"/>
  <c r="AC57" i="7"/>
  <c r="AD56" i="7"/>
  <c r="U57" i="7" l="1"/>
  <c r="Y57" i="7" l="1"/>
  <c r="AA57" i="7" s="1"/>
  <c r="T57" i="7"/>
  <c r="R58" i="7" s="1"/>
  <c r="N58" i="7"/>
  <c r="S58" i="7"/>
  <c r="AB57" i="7" l="1"/>
  <c r="AD57" i="7" s="1"/>
  <c r="O58" i="7"/>
  <c r="Z58" i="7" s="1"/>
  <c r="AC58" i="7"/>
  <c r="P58" i="7" l="1"/>
  <c r="U58" i="7" s="1"/>
  <c r="Y58" i="7" l="1"/>
  <c r="AA58" i="7" s="1"/>
  <c r="N59" i="7"/>
  <c r="T58" i="7"/>
  <c r="R59" i="7" l="1"/>
  <c r="AB58" i="7"/>
  <c r="S59" i="7"/>
  <c r="O59" i="7"/>
  <c r="Z59" i="7" s="1"/>
  <c r="P59" i="7" l="1"/>
  <c r="AC59" i="7"/>
  <c r="AD58" i="7"/>
  <c r="Y59" i="7" l="1"/>
  <c r="AA59" i="7" s="1"/>
  <c r="U59" i="7"/>
  <c r="S60" i="7" s="1"/>
  <c r="N60" i="7"/>
  <c r="O60" i="7" s="1"/>
  <c r="Z60" i="7" s="1"/>
  <c r="T59" i="7"/>
  <c r="R60" i="7" s="1"/>
  <c r="P60" i="7" l="1"/>
  <c r="AC60" i="7"/>
  <c r="AB59" i="7"/>
  <c r="AD59" i="7" l="1"/>
  <c r="U60" i="7"/>
  <c r="T60" i="7" l="1"/>
  <c r="AB60" i="7" s="1"/>
  <c r="N61" i="7"/>
  <c r="Y60" i="7"/>
  <c r="AA60" i="7" s="1"/>
  <c r="S61" i="7"/>
  <c r="O61" i="7" l="1"/>
  <c r="Z61" i="7" s="1"/>
  <c r="R61" i="7"/>
  <c r="AC61" i="7" s="1"/>
  <c r="AD60" i="7"/>
  <c r="P61" i="7" l="1"/>
  <c r="Y61" i="7" s="1"/>
  <c r="AA61" i="7" s="1"/>
  <c r="T61" i="7" l="1"/>
  <c r="R62" i="7" s="1"/>
  <c r="N62" i="7"/>
  <c r="U61" i="7"/>
  <c r="S62" i="7" s="1"/>
  <c r="O62" i="7" l="1"/>
  <c r="Z62" i="7" s="1"/>
  <c r="AB61" i="7"/>
  <c r="AD61" i="7" s="1"/>
  <c r="AC62" i="7"/>
  <c r="P62" i="7" l="1"/>
  <c r="U62" i="7" s="1"/>
  <c r="N63" i="7" l="1"/>
  <c r="Y62" i="7"/>
  <c r="AA62" i="7" s="1"/>
  <c r="T62" i="7"/>
  <c r="R63" i="7" l="1"/>
  <c r="AB62" i="7"/>
  <c r="S63" i="7"/>
  <c r="O63" i="7"/>
  <c r="Z63" i="7" s="1"/>
  <c r="P63" i="7" l="1"/>
  <c r="AC63" i="7"/>
  <c r="AD62" i="7"/>
  <c r="U63" i="7" l="1"/>
  <c r="T63" i="7" l="1"/>
  <c r="N64" i="7"/>
  <c r="Y63" i="7"/>
  <c r="AA63" i="7" s="1"/>
  <c r="O64" i="7" l="1"/>
  <c r="Z64" i="7" s="1"/>
  <c r="S64" i="7"/>
  <c r="R64" i="7"/>
  <c r="AB63" i="7"/>
  <c r="AC64" i="7" l="1"/>
  <c r="P64" i="7"/>
  <c r="AD63" i="7"/>
  <c r="U64" i="7" l="1"/>
  <c r="S65" i="7" s="1"/>
  <c r="Y64" i="7"/>
  <c r="AA64" i="7" s="1"/>
  <c r="T64" i="7"/>
  <c r="R65" i="7" s="1"/>
  <c r="N65" i="7"/>
  <c r="AB64" i="7" l="1"/>
  <c r="AD64" i="7" s="1"/>
  <c r="O65" i="7"/>
  <c r="Z65" i="7" s="1"/>
  <c r="AC65" i="7"/>
  <c r="P65" i="7" l="1"/>
  <c r="U65" i="7" s="1"/>
  <c r="S66" i="7" s="1"/>
  <c r="N66" i="7" l="1"/>
  <c r="O66" i="7" s="1"/>
  <c r="Z66" i="7" s="1"/>
  <c r="Y65" i="7"/>
  <c r="AA65" i="7" s="1"/>
  <c r="T65" i="7"/>
  <c r="P66" i="7" l="1"/>
  <c r="U66" i="7" s="1"/>
  <c r="R66" i="7"/>
  <c r="AC66" i="7" s="1"/>
  <c r="AB65" i="7"/>
  <c r="AD65" i="7" s="1"/>
  <c r="T66" i="7" l="1"/>
  <c r="R67" i="7" s="1"/>
  <c r="Y66" i="7"/>
  <c r="AA66" i="7" s="1"/>
  <c r="N67" i="7"/>
  <c r="O67" i="7" s="1"/>
  <c r="Z67" i="7" s="1"/>
  <c r="S67" i="7"/>
  <c r="AB66" i="7" l="1"/>
  <c r="AD66" i="7" s="1"/>
  <c r="P67" i="7"/>
  <c r="AC67" i="7"/>
  <c r="U67" i="7" l="1"/>
  <c r="N68" i="7" l="1"/>
  <c r="Y67" i="7"/>
  <c r="AA67" i="7" s="1"/>
  <c r="T67" i="7"/>
  <c r="R68" i="7" l="1"/>
  <c r="AB67" i="7"/>
  <c r="S68" i="7"/>
  <c r="O68" i="7"/>
  <c r="Z68" i="7" s="1"/>
  <c r="P68" i="7" l="1"/>
  <c r="AC68" i="7"/>
  <c r="AD67" i="7"/>
  <c r="U68" i="7" l="1"/>
  <c r="Y68" i="7" l="1"/>
  <c r="AA68" i="7" s="1"/>
  <c r="N69" i="7"/>
  <c r="T68" i="7"/>
  <c r="R69" i="7" l="1"/>
  <c r="AB68" i="7"/>
  <c r="S69" i="7"/>
  <c r="O69" i="7"/>
  <c r="Z69" i="7" s="1"/>
  <c r="P69" i="7" l="1"/>
  <c r="U69" i="7" s="1"/>
  <c r="AC69" i="7"/>
  <c r="AD68" i="7"/>
  <c r="Y69" i="7" l="1"/>
  <c r="AA69" i="7" s="1"/>
  <c r="N70" i="7"/>
  <c r="T69" i="7"/>
  <c r="R70" i="7" l="1"/>
  <c r="AB69" i="7"/>
  <c r="S70" i="7"/>
  <c r="O70" i="7"/>
  <c r="Z70" i="7" s="1"/>
  <c r="P70" i="7" l="1"/>
  <c r="AC70" i="7"/>
  <c r="AD69" i="7"/>
  <c r="N71" i="7" l="1"/>
  <c r="Y70" i="7" l="1"/>
  <c r="AA70" i="7" s="1"/>
  <c r="T70" i="7"/>
  <c r="R71" i="7" s="1"/>
  <c r="U70" i="7"/>
  <c r="S71" i="7" s="1"/>
  <c r="O71" i="7"/>
  <c r="Z71" i="7" s="1"/>
  <c r="P71" i="7" l="1"/>
  <c r="AB70" i="7"/>
  <c r="AD70" i="7" s="1"/>
  <c r="AC71" i="7"/>
  <c r="U71" i="7" l="1"/>
  <c r="N72" i="7" l="1"/>
  <c r="Y71" i="7"/>
  <c r="AA71" i="7" s="1"/>
  <c r="T71" i="7"/>
  <c r="R72" i="7" l="1"/>
  <c r="AB71" i="7"/>
  <c r="S72" i="7"/>
  <c r="O72" i="7"/>
  <c r="Z72" i="7" s="1"/>
  <c r="P72" i="7" l="1"/>
  <c r="AC72" i="7"/>
  <c r="AD71" i="7"/>
  <c r="U72" i="7" l="1"/>
  <c r="N73" i="7" l="1"/>
  <c r="O73" i="7" s="1"/>
  <c r="Z73" i="7" s="1"/>
  <c r="T72" i="7"/>
  <c r="R73" i="7" s="1"/>
  <c r="S73" i="7"/>
  <c r="Y72" i="7"/>
  <c r="AA72" i="7" s="1"/>
  <c r="P73" i="7" l="1"/>
  <c r="AC73" i="7"/>
  <c r="AB72" i="7"/>
  <c r="AD72" i="7" s="1"/>
  <c r="U73" i="7" l="1"/>
  <c r="N74" i="7" l="1"/>
  <c r="T73" i="7"/>
  <c r="AB73" i="7" s="1"/>
  <c r="Y73" i="7"/>
  <c r="AA73" i="7" s="1"/>
  <c r="S74" i="7"/>
  <c r="O74" i="7" l="1"/>
  <c r="Z74" i="7" s="1"/>
  <c r="R74" i="7"/>
  <c r="AC74" i="7" s="1"/>
  <c r="AD73" i="7"/>
  <c r="P74" i="7" l="1"/>
  <c r="U74" i="7" s="1"/>
  <c r="N75" i="7" l="1"/>
  <c r="Y74" i="7"/>
  <c r="AA74" i="7" s="1"/>
  <c r="T74" i="7"/>
  <c r="R75" i="7" l="1"/>
  <c r="AB74" i="7"/>
  <c r="S75" i="7"/>
  <c r="O75" i="7"/>
  <c r="Z75" i="7" s="1"/>
  <c r="P75" i="7" l="1"/>
  <c r="AC75" i="7"/>
  <c r="AD74" i="7"/>
  <c r="N76" i="7" l="1"/>
  <c r="O76" i="7" l="1"/>
  <c r="Z76" i="7" s="1"/>
  <c r="Y75" i="7"/>
  <c r="AA75" i="7" s="1"/>
  <c r="U75" i="7"/>
  <c r="S76" i="7" s="1"/>
  <c r="T75" i="7"/>
  <c r="R76" i="7" s="1"/>
  <c r="P76" i="7" l="1"/>
  <c r="U76" i="7" s="1"/>
  <c r="AB75" i="7"/>
  <c r="AD75" i="7" s="1"/>
  <c r="AC76" i="7"/>
  <c r="N77" i="7" l="1"/>
  <c r="T76" i="7"/>
  <c r="AB76" i="7" s="1"/>
  <c r="Y76" i="7"/>
  <c r="AA76" i="7" s="1"/>
  <c r="S77" i="7"/>
  <c r="O77" i="7" l="1"/>
  <c r="Z77" i="7" s="1"/>
  <c r="AD76" i="7"/>
  <c r="R77" i="7"/>
  <c r="AC77" i="7" s="1"/>
  <c r="P77" i="7" l="1"/>
  <c r="N78" i="7" l="1"/>
  <c r="U77" i="7"/>
  <c r="S78" i="7" s="1"/>
  <c r="T77" i="7"/>
  <c r="R78" i="7" s="1"/>
  <c r="Y77" i="7"/>
  <c r="AA77" i="7" s="1"/>
  <c r="O78" i="7" l="1"/>
  <c r="Z78" i="7" s="1"/>
  <c r="AC78" i="7"/>
  <c r="AB77" i="7"/>
  <c r="AD77" i="7" s="1"/>
  <c r="P78" i="7" l="1"/>
  <c r="U78" i="7" s="1"/>
  <c r="T78" i="7" l="1"/>
  <c r="Y78" i="7"/>
  <c r="AA78" i="7" s="1"/>
  <c r="N79" i="7"/>
  <c r="S79" i="7"/>
  <c r="O79" i="7" l="1"/>
  <c r="Z79" i="7" s="1"/>
  <c r="R79" i="7"/>
  <c r="AC79" i="7" s="1"/>
  <c r="AB78" i="7"/>
  <c r="P79" i="7" l="1"/>
  <c r="U79" i="7" s="1"/>
  <c r="AD78" i="7"/>
  <c r="T79" i="7" l="1"/>
  <c r="AB79" i="7" s="1"/>
  <c r="Y79" i="7"/>
  <c r="AA79" i="7" s="1"/>
  <c r="N80" i="7"/>
  <c r="O80" i="7" s="1"/>
  <c r="Z80" i="7" s="1"/>
  <c r="S80" i="7"/>
  <c r="R80" i="7" l="1"/>
  <c r="AC80" i="7" s="1"/>
  <c r="P80" i="7"/>
  <c r="AD79" i="7"/>
  <c r="Y80" i="7" l="1"/>
  <c r="AA80" i="7" s="1"/>
  <c r="N81" i="7" l="1"/>
  <c r="U80" i="7"/>
  <c r="S81" i="7" s="1"/>
  <c r="T80" i="7"/>
  <c r="O81" i="7" l="1"/>
  <c r="Z81" i="7" s="1"/>
  <c r="AB80" i="7"/>
  <c r="R81" i="7"/>
  <c r="AD80" i="7" l="1"/>
  <c r="P81" i="7"/>
  <c r="AC81" i="7"/>
  <c r="N82" i="7" l="1"/>
  <c r="Y81" i="7"/>
  <c r="AA81" i="7" s="1"/>
  <c r="U81" i="7"/>
  <c r="S82" i="7" s="1"/>
  <c r="T81" i="7"/>
  <c r="O82" i="7" l="1"/>
  <c r="P82" i="7" s="1"/>
  <c r="R82" i="7"/>
  <c r="AB81" i="7"/>
  <c r="Z82" i="7" l="1"/>
  <c r="AD81" i="7"/>
  <c r="AC82" i="7"/>
  <c r="N83" i="7" l="1"/>
  <c r="U82" i="7"/>
  <c r="S83" i="7" s="1"/>
  <c r="Y82" i="7"/>
  <c r="AA82" i="7" s="1"/>
  <c r="T82" i="7"/>
  <c r="R83" i="7" l="1"/>
  <c r="AB82" i="7"/>
  <c r="AD82" i="7" s="1"/>
  <c r="O83" i="7"/>
  <c r="P83" i="7" l="1"/>
  <c r="Z83" i="7"/>
  <c r="AC83" i="7"/>
  <c r="N84" i="7" l="1"/>
  <c r="Y83" i="7"/>
  <c r="AA83" i="7" s="1"/>
  <c r="U83" i="7"/>
  <c r="S84" i="7" s="1"/>
  <c r="T83" i="7"/>
  <c r="O84" i="7" l="1"/>
  <c r="P84" i="7" s="1"/>
  <c r="R84" i="7"/>
  <c r="AB83" i="7"/>
  <c r="AD83" i="7" s="1"/>
  <c r="Z84" i="7" l="1"/>
  <c r="AC84" i="7"/>
  <c r="N85" i="7" l="1"/>
  <c r="Y84" i="7"/>
  <c r="AA84" i="7" s="1"/>
  <c r="U84" i="7"/>
  <c r="S85" i="7" s="1"/>
  <c r="T84" i="7"/>
  <c r="R85" i="7" l="1"/>
  <c r="AB84" i="7"/>
  <c r="AD84" i="7" s="1"/>
  <c r="O85" i="7"/>
  <c r="Z85" i="7" s="1"/>
  <c r="P85" i="7" l="1"/>
  <c r="AC85" i="7"/>
  <c r="N86" i="7" l="1"/>
  <c r="Y85" i="7"/>
  <c r="AA85" i="7" s="1"/>
  <c r="U85" i="7"/>
  <c r="S86" i="7" s="1"/>
  <c r="T85" i="7"/>
  <c r="R86" i="7" l="1"/>
  <c r="AB85" i="7"/>
  <c r="AD85" i="7" s="1"/>
  <c r="O86" i="7"/>
  <c r="P86" i="7" l="1"/>
  <c r="AC86" i="7"/>
  <c r="Z86" i="7"/>
  <c r="N87" i="7" l="1"/>
  <c r="Y86" i="7"/>
  <c r="AA86" i="7" s="1"/>
  <c r="U86" i="7"/>
  <c r="S87" i="7" s="1"/>
  <c r="T86" i="7"/>
  <c r="R87" i="7" l="1"/>
  <c r="AB86" i="7"/>
  <c r="AD86" i="7" s="1"/>
  <c r="O87" i="7"/>
  <c r="Z87" i="7" s="1"/>
  <c r="P87" i="7" l="1"/>
  <c r="AC87" i="7"/>
  <c r="N88" i="7" l="1"/>
  <c r="Y87" i="7"/>
  <c r="AA87" i="7" s="1"/>
  <c r="U87" i="7"/>
  <c r="S88" i="7" s="1"/>
  <c r="T87" i="7"/>
  <c r="R88" i="7" l="1"/>
  <c r="AB87" i="7"/>
  <c r="AD87" i="7" s="1"/>
  <c r="O88" i="7"/>
  <c r="Z88" i="7" s="1"/>
  <c r="P88" i="7" l="1"/>
  <c r="AC88" i="7"/>
  <c r="N89" i="7" l="1"/>
  <c r="Y88" i="7"/>
  <c r="AA88" i="7" s="1"/>
  <c r="U88" i="7"/>
  <c r="S89" i="7" s="1"/>
  <c r="T88" i="7"/>
  <c r="R89" i="7" l="1"/>
  <c r="AB88" i="7"/>
  <c r="AD88" i="7" s="1"/>
  <c r="O89" i="7"/>
  <c r="Z89" i="7" s="1"/>
  <c r="P89" i="7" l="1"/>
  <c r="AC89" i="7"/>
  <c r="N90" i="7" l="1"/>
  <c r="U89" i="7"/>
  <c r="S90" i="7" s="1"/>
  <c r="Y89" i="7"/>
  <c r="AA89" i="7" s="1"/>
  <c r="T89" i="7"/>
  <c r="R90" i="7" l="1"/>
  <c r="AB89" i="7"/>
  <c r="AD89" i="7" s="1"/>
  <c r="O90" i="7"/>
  <c r="Z90" i="7" s="1"/>
  <c r="P90" i="7" l="1"/>
  <c r="N91" i="7" s="1"/>
  <c r="AC90" i="7"/>
  <c r="O91" i="7" l="1"/>
  <c r="Z91" i="7" s="1"/>
  <c r="Y90" i="7"/>
  <c r="AA90" i="7" s="1"/>
  <c r="U90" i="7"/>
  <c r="S91" i="7" s="1"/>
  <c r="T90" i="7"/>
  <c r="AB90" i="7" l="1"/>
  <c r="AD90" i="7" s="1"/>
  <c r="R91" i="7"/>
  <c r="P91" i="7"/>
  <c r="AO2" i="6"/>
  <c r="N92" i="7" l="1"/>
  <c r="U91" i="7"/>
  <c r="S92" i="7" s="1"/>
  <c r="Y91" i="7"/>
  <c r="AA91" i="7" s="1"/>
  <c r="T91" i="7"/>
  <c r="R92" i="7" s="1"/>
  <c r="AC91" i="7"/>
  <c r="AO15" i="6"/>
  <c r="J15" i="6" s="1"/>
  <c r="AO14" i="6"/>
  <c r="J14" i="6" s="1"/>
  <c r="AO16" i="6"/>
  <c r="J16" i="6" s="1"/>
  <c r="AO20" i="6"/>
  <c r="J20" i="6" s="1"/>
  <c r="AO18" i="6"/>
  <c r="J18" i="6" s="1"/>
  <c r="AO8" i="6"/>
  <c r="J8" i="6" s="1"/>
  <c r="AO12" i="6"/>
  <c r="J12" i="6" s="1"/>
  <c r="AO24" i="6"/>
  <c r="J24" i="6" s="1"/>
  <c r="AO5" i="6"/>
  <c r="AO10" i="6"/>
  <c r="J10" i="6" s="1"/>
  <c r="AO13" i="6"/>
  <c r="J13" i="6" s="1"/>
  <c r="AO9" i="6"/>
  <c r="J9" i="6" s="1"/>
  <c r="AO17" i="6"/>
  <c r="J17" i="6" s="1"/>
  <c r="AO6" i="6"/>
  <c r="J6" i="6" s="1"/>
  <c r="AO21" i="6"/>
  <c r="J21" i="6" s="1"/>
  <c r="AO11" i="6"/>
  <c r="J11" i="6" s="1"/>
  <c r="AO22" i="6"/>
  <c r="J22" i="6" s="1"/>
  <c r="AO7" i="6"/>
  <c r="J7" i="6" s="1"/>
  <c r="AO23" i="6"/>
  <c r="J23" i="6" s="1"/>
  <c r="AO19" i="6"/>
  <c r="J19" i="6" s="1"/>
  <c r="J5" i="6" l="1"/>
  <c r="L5" i="6" s="1"/>
  <c r="Y5" i="6" s="1"/>
  <c r="AB91" i="7"/>
  <c r="AD91" i="7" s="1"/>
  <c r="AC92" i="7"/>
  <c r="O92" i="7"/>
  <c r="Z92" i="7" s="1"/>
  <c r="L16" i="6"/>
  <c r="Y16" i="6" s="1"/>
  <c r="W17" i="6" s="1"/>
  <c r="AI17" i="6" s="1"/>
  <c r="AH16" i="6"/>
  <c r="L10" i="6"/>
  <c r="Y10" i="6" s="1"/>
  <c r="W11" i="6" s="1"/>
  <c r="AI11" i="6" s="1"/>
  <c r="AH10" i="6"/>
  <c r="L7" i="6"/>
  <c r="Y7" i="6" s="1"/>
  <c r="W8" i="6" s="1"/>
  <c r="AI8" i="6" s="1"/>
  <c r="AH7" i="6"/>
  <c r="L18" i="6"/>
  <c r="Y18" i="6" s="1"/>
  <c r="W19" i="6" s="1"/>
  <c r="AI19" i="6" s="1"/>
  <c r="AH18" i="6"/>
  <c r="L14" i="6"/>
  <c r="Y14" i="6" s="1"/>
  <c r="W15" i="6" s="1"/>
  <c r="AI15" i="6" s="1"/>
  <c r="AH14" i="6"/>
  <c r="L11" i="6"/>
  <c r="Y11" i="6" s="1"/>
  <c r="W12" i="6" s="1"/>
  <c r="AI12" i="6" s="1"/>
  <c r="AH11" i="6"/>
  <c r="L9" i="6"/>
  <c r="Y9" i="6" s="1"/>
  <c r="W10" i="6" s="1"/>
  <c r="AI10" i="6" s="1"/>
  <c r="AH9" i="6"/>
  <c r="L12" i="6"/>
  <c r="Y12" i="6" s="1"/>
  <c r="W13" i="6" s="1"/>
  <c r="AI13" i="6" s="1"/>
  <c r="AH12" i="6"/>
  <c r="L22" i="6"/>
  <c r="Y22" i="6" s="1"/>
  <c r="W23" i="6" s="1"/>
  <c r="AI23" i="6" s="1"/>
  <c r="AH22" i="6"/>
  <c r="L15" i="6"/>
  <c r="Y15" i="6" s="1"/>
  <c r="W16" i="6" s="1"/>
  <c r="AI16" i="6" s="1"/>
  <c r="AH15" i="6"/>
  <c r="L6" i="6"/>
  <c r="Y6" i="6" s="1"/>
  <c r="W7" i="6" s="1"/>
  <c r="AI7" i="6" s="1"/>
  <c r="L17" i="6"/>
  <c r="Y17" i="6" s="1"/>
  <c r="W18" i="6" s="1"/>
  <c r="AI18" i="6" s="1"/>
  <c r="AH17" i="6"/>
  <c r="L19" i="6"/>
  <c r="Y19" i="6" s="1"/>
  <c r="W20" i="6" s="1"/>
  <c r="AI20" i="6" s="1"/>
  <c r="AH19" i="6"/>
  <c r="L8" i="6"/>
  <c r="Y8" i="6" s="1"/>
  <c r="W9" i="6" s="1"/>
  <c r="AI9" i="6" s="1"/>
  <c r="AH8" i="6"/>
  <c r="L23" i="6"/>
  <c r="Y23" i="6" s="1"/>
  <c r="W24" i="6" s="1"/>
  <c r="AI24" i="6" s="1"/>
  <c r="AH23" i="6"/>
  <c r="L13" i="6"/>
  <c r="Y13" i="6" s="1"/>
  <c r="W14" i="6" s="1"/>
  <c r="AI14" i="6" s="1"/>
  <c r="AH13" i="6"/>
  <c r="L21" i="6"/>
  <c r="Y21" i="6" s="1"/>
  <c r="W22" i="6" s="1"/>
  <c r="AI22" i="6" s="1"/>
  <c r="AH21" i="6"/>
  <c r="L20" i="6"/>
  <c r="Y20" i="6" s="1"/>
  <c r="W21" i="6" s="1"/>
  <c r="AI21" i="6" s="1"/>
  <c r="AH20" i="6"/>
  <c r="L24" i="6"/>
  <c r="Y24" i="6" s="1"/>
  <c r="AH24" i="6"/>
  <c r="AH6" i="6" l="1"/>
  <c r="AH5" i="6"/>
  <c r="W6" i="6"/>
  <c r="AI6" i="6" s="1"/>
  <c r="AI28" i="6" s="1"/>
  <c r="P92" i="7"/>
  <c r="AJ21" i="6"/>
  <c r="AJ10" i="6"/>
  <c r="AJ14" i="6"/>
  <c r="AJ8" i="6"/>
  <c r="AJ18" i="6"/>
  <c r="AJ9" i="6"/>
  <c r="AJ23" i="6"/>
  <c r="AJ17" i="6"/>
  <c r="AJ12" i="6"/>
  <c r="AJ20" i="6"/>
  <c r="AJ15" i="6"/>
  <c r="AJ11" i="6"/>
  <c r="AJ24" i="6"/>
  <c r="AJ7" i="6"/>
  <c r="AJ19" i="6"/>
  <c r="AJ13" i="6"/>
  <c r="AJ22" i="6"/>
  <c r="AJ16" i="6"/>
  <c r="AH28" i="6" l="1"/>
  <c r="AH26" i="6"/>
  <c r="AH27" i="6"/>
  <c r="AJ5" i="6"/>
  <c r="AI27" i="6"/>
  <c r="AJ6" i="6"/>
  <c r="AI26" i="6"/>
  <c r="U92" i="7"/>
  <c r="S93" i="7" s="1"/>
  <c r="N93" i="7"/>
  <c r="Y92" i="7"/>
  <c r="AA92" i="7" s="1"/>
  <c r="T92" i="7"/>
  <c r="AO3" i="6"/>
  <c r="AJ26" i="6" l="1"/>
  <c r="AJ27" i="6"/>
  <c r="AJ28" i="6"/>
  <c r="B7" i="6" s="1"/>
  <c r="R93" i="7"/>
  <c r="AB92" i="7"/>
  <c r="AD92" i="7" s="1"/>
  <c r="O93" i="7"/>
  <c r="Z93" i="7" s="1"/>
  <c r="AP19" i="6"/>
  <c r="I19" i="6" s="1"/>
  <c r="AP20" i="6"/>
  <c r="I20" i="6" s="1"/>
  <c r="AP14" i="6"/>
  <c r="I14" i="6" s="1"/>
  <c r="AP23" i="6"/>
  <c r="I23" i="6" s="1"/>
  <c r="AP8" i="6"/>
  <c r="I8" i="6" s="1"/>
  <c r="AP12" i="6"/>
  <c r="I12" i="6" s="1"/>
  <c r="AP18" i="6"/>
  <c r="I18" i="6" s="1"/>
  <c r="AP13" i="6"/>
  <c r="I13" i="6" s="1"/>
  <c r="AP22" i="6"/>
  <c r="I22" i="6" s="1"/>
  <c r="AP5" i="6"/>
  <c r="I5" i="6" s="1"/>
  <c r="AP9" i="6"/>
  <c r="I9" i="6" s="1"/>
  <c r="AP21" i="6"/>
  <c r="I21" i="6" s="1"/>
  <c r="AP6" i="6"/>
  <c r="I6" i="6" s="1"/>
  <c r="AP17" i="6"/>
  <c r="I17" i="6" s="1"/>
  <c r="AP10" i="6"/>
  <c r="I10" i="6" s="1"/>
  <c r="AP16" i="6"/>
  <c r="I16" i="6" s="1"/>
  <c r="AP7" i="6"/>
  <c r="I7" i="6" s="1"/>
  <c r="AP15" i="6"/>
  <c r="I15" i="6" s="1"/>
  <c r="AP11" i="6"/>
  <c r="I11" i="6" s="1"/>
  <c r="I24" i="6"/>
  <c r="AF24" i="6" s="1"/>
  <c r="B6" i="6" l="1"/>
  <c r="K11" i="6"/>
  <c r="AF11" i="6" s="1"/>
  <c r="K9" i="6"/>
  <c r="AF9" i="6" s="1"/>
  <c r="K14" i="6"/>
  <c r="AF14" i="6" s="1"/>
  <c r="K15" i="6"/>
  <c r="AF15" i="6" s="1"/>
  <c r="K5" i="6"/>
  <c r="AF5" i="6" s="1"/>
  <c r="K20" i="6"/>
  <c r="AF20" i="6" s="1"/>
  <c r="K7" i="6"/>
  <c r="AF7" i="6" s="1"/>
  <c r="K22" i="6"/>
  <c r="AF22" i="6" s="1"/>
  <c r="K19" i="6"/>
  <c r="AF19" i="6" s="1"/>
  <c r="K16" i="6"/>
  <c r="AF16" i="6" s="1"/>
  <c r="K13" i="6"/>
  <c r="AF13" i="6" s="1"/>
  <c r="K10" i="6"/>
  <c r="AF10" i="6" s="1"/>
  <c r="K18" i="6"/>
  <c r="AF18" i="6" s="1"/>
  <c r="K17" i="6"/>
  <c r="AF17" i="6" s="1"/>
  <c r="K12" i="6"/>
  <c r="AF12" i="6" s="1"/>
  <c r="K6" i="6"/>
  <c r="AF6" i="6" s="1"/>
  <c r="K8" i="6"/>
  <c r="AF8" i="6" s="1"/>
  <c r="K21" i="6"/>
  <c r="AF21" i="6" s="1"/>
  <c r="K23" i="6"/>
  <c r="AF23" i="6" s="1"/>
  <c r="P93" i="7"/>
  <c r="T93" i="7" s="1"/>
  <c r="AB93" i="7" s="1"/>
  <c r="AC93" i="7"/>
  <c r="AF28" i="6" l="1"/>
  <c r="AF26" i="6"/>
  <c r="AF27" i="6"/>
  <c r="Y93" i="7"/>
  <c r="U93" i="7"/>
  <c r="AA93" i="7" l="1"/>
  <c r="AD93" i="7" l="1"/>
  <c r="B6" i="7" l="1"/>
  <c r="B7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tc={6CE531DE-F652-7944-A5F5-D109275F9BFB}</author>
    <author>tc={0145C206-123A-1642-A265-EF28D0800102}</author>
  </authors>
  <commentList>
    <comment ref="B9" authorId="0" shapeId="0" xr:uid="{6CE531DE-F652-7944-A5F5-D109275F9BFB}">
      <text>
        <t>[Threaded comment]
Your version of Excel allows you to read this threaded comment; however, any edits to it will get removed if the file is opened in a newer version of Excel. Learn more: https://go.microsoft.com/fwlink/?linkid=870924
Comment:
    CAPM</t>
      </text>
    </comment>
    <comment ref="B10" authorId="1" shapeId="0" xr:uid="{0145C206-123A-1642-A265-EF28D0800102}">
      <text>
        <t>[Threaded comment]
Your version of Excel allows you to read this threaded comment; however, any edits to it will get removed if the file is opened in a newer version of Excel. Learn more: https://go.microsoft.com/fwlink/?linkid=870924
Comment:
    Regulators require low-risk investments for life insurers.</t>
      </text>
    </comment>
  </commentList>
</comments>
</file>

<file path=xl/sharedStrings.xml><?xml version="1.0" encoding="utf-8"?>
<sst xmlns="http://schemas.openxmlformats.org/spreadsheetml/2006/main" count="519" uniqueCount="184">
  <si>
    <t>Aspiring Actuaries</t>
  </si>
  <si>
    <t>Jinil Patel</t>
  </si>
  <si>
    <t>z5311172</t>
  </si>
  <si>
    <t>Melissa Renard</t>
  </si>
  <si>
    <t>z5565738</t>
  </si>
  <si>
    <t>Jason Zhang</t>
  </si>
  <si>
    <t>Ricky Zhang</t>
  </si>
  <si>
    <t>Yuchi Zhang</t>
  </si>
  <si>
    <t>Table of Contents</t>
  </si>
  <si>
    <t>Results</t>
  </si>
  <si>
    <t>Inputs &amp; Results</t>
  </si>
  <si>
    <t>Sensitivity Analysis</t>
  </si>
  <si>
    <t>Assumptions</t>
  </si>
  <si>
    <t>Interest Rates</t>
  </si>
  <si>
    <t>Mortality Rates</t>
  </si>
  <si>
    <t>Withdrawal Rates</t>
  </si>
  <si>
    <t>Cash Flow Calculations</t>
  </si>
  <si>
    <t>20-year Term Insurance</t>
  </si>
  <si>
    <t>Single Premium Whole Life Insurance</t>
  </si>
  <si>
    <t>Premiums &amp; Profits</t>
  </si>
  <si>
    <t>Step 1</t>
  </si>
  <si>
    <t>Step 2</t>
  </si>
  <si>
    <t>Inputs</t>
  </si>
  <si>
    <t>Inflation</t>
  </si>
  <si>
    <t>Risk-free interest rate</t>
  </si>
  <si>
    <t>SuperLife Beta</t>
  </si>
  <si>
    <t>Market Return</t>
  </si>
  <si>
    <t>SuperLife Cost of Capital</t>
  </si>
  <si>
    <t>SuperLife Investment Return</t>
  </si>
  <si>
    <t>Program Costs</t>
  </si>
  <si>
    <t>Smoking Cessation Program</t>
  </si>
  <si>
    <t>Other programs Y1</t>
  </si>
  <si>
    <t>Program Cost year 2+ (no smoking)</t>
  </si>
  <si>
    <t>Mortality reductions</t>
  </si>
  <si>
    <t>Smoking cessation program</t>
  </si>
  <si>
    <t>Weight management program</t>
  </si>
  <si>
    <t>Cancer prevention initiatives</t>
  </si>
  <si>
    <t>Step 1: Change desired input</t>
  </si>
  <si>
    <t>Lapse rate ratio (sensitivity)</t>
  </si>
  <si>
    <t>Step 3</t>
  </si>
  <si>
    <t>T20</t>
  </si>
  <si>
    <t>Profit before tax</t>
  </si>
  <si>
    <t>Profit margin</t>
  </si>
  <si>
    <t>Before Program</t>
  </si>
  <si>
    <t>After Program</t>
  </si>
  <si>
    <t>SPWL</t>
  </si>
  <si>
    <t>Total</t>
  </si>
  <si>
    <t>Inflation/Interest Rate</t>
  </si>
  <si>
    <t>Risk-free interest rate is 1.5%</t>
  </si>
  <si>
    <t>Risk-free interest rate is 5%</t>
  </si>
  <si>
    <t>Mortality Rate Decrease</t>
  </si>
  <si>
    <t>Lowest Decrease (Smoking Cessation program: 15%, cancer prevention initiatives: 0%)</t>
  </si>
  <si>
    <t>Highest Decrease (Smoking Cessation program: 50%, cancer prevention initiatives: 10%)</t>
  </si>
  <si>
    <t>Lapse Rates</t>
  </si>
  <si>
    <t>Lower Lapse Rates (90% of original)</t>
  </si>
  <si>
    <t>Higher Lapse Rates (110% of original)</t>
  </si>
  <si>
    <t>Year</t>
  </si>
  <si>
    <t>Government of Lumaria Overnight Rate</t>
  </si>
  <si>
    <t>1-yr Risk Free Annual Spot Rate</t>
  </si>
  <si>
    <t>10-yr Risk Free Annual Spot Rate</t>
  </si>
  <si>
    <t>US LI beta</t>
  </si>
  <si>
    <t>Europe LI beta</t>
  </si>
  <si>
    <t>Global LI beta</t>
  </si>
  <si>
    <t>S&amp;P500 index</t>
  </si>
  <si>
    <t>S&amp;P500 index return</t>
  </si>
  <si>
    <t>avg all time</t>
  </si>
  <si>
    <t>avg last 10 years</t>
  </si>
  <si>
    <t>avg last 8 yr</t>
  </si>
  <si>
    <t>avg last 5yr</t>
  </si>
  <si>
    <t>This is the simple average beta for life insurance companies in respective countries/groups of countries.</t>
  </si>
  <si>
    <t>avg 2011+</t>
  </si>
  <si>
    <t>avg last 10yr</t>
  </si>
  <si>
    <t>2000-2019 avg</t>
  </si>
  <si>
    <t>2010-2019 avg</t>
  </si>
  <si>
    <t>last 15yr avg</t>
  </si>
  <si>
    <t>last 10yr avg</t>
  </si>
  <si>
    <t>qx</t>
  </si>
  <si>
    <t>ln(qx)</t>
  </si>
  <si>
    <t>qx under program</t>
  </si>
  <si>
    <t>Age</t>
  </si>
  <si>
    <t>Smoker</t>
  </si>
  <si>
    <t>Male non-smoker</t>
  </si>
  <si>
    <t>Female non-smoker</t>
  </si>
  <si>
    <t>Lumaria</t>
  </si>
  <si>
    <t>Male Non Smoker</t>
  </si>
  <si>
    <t>Female Non Smoker</t>
  </si>
  <si>
    <t>Withdrawal/Lapse Rates</t>
  </si>
  <si>
    <t>Original lapse rates</t>
  </si>
  <si>
    <t>Policy year</t>
  </si>
  <si>
    <t>M_NS</t>
  </si>
  <si>
    <t>F_NS</t>
  </si>
  <si>
    <t>20-Year Term Insurance</t>
  </si>
  <si>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</si>
  <si>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</si>
  <si>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</si>
  <si>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</si>
  <si>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2"/>
        <rFont val="Arial"/>
        <family val="2"/>
      </rPr>
      <t>t</t>
    </r>
  </si>
  <si>
    <r>
      <t>C</t>
    </r>
    <r>
      <rPr>
        <vertAlign val="subscript"/>
        <sz val="12"/>
        <rFont val="Arial"/>
        <family val="2"/>
      </rPr>
      <t>t</t>
    </r>
  </si>
  <si>
    <r>
      <t>E</t>
    </r>
    <r>
      <rPr>
        <vertAlign val="subscript"/>
        <sz val="12"/>
        <rFont val="Arial"/>
        <family val="2"/>
      </rPr>
      <t>t</t>
    </r>
  </si>
  <si>
    <r>
      <t>CL</t>
    </r>
    <r>
      <rPr>
        <vertAlign val="subscript"/>
        <sz val="12"/>
        <rFont val="Arial"/>
        <family val="2"/>
      </rPr>
      <t>t</t>
    </r>
  </si>
  <si>
    <t>Wt</t>
  </si>
  <si>
    <r>
      <t>CR</t>
    </r>
    <r>
      <rPr>
        <vertAlign val="subscript"/>
        <sz val="12"/>
        <rFont val="Arial"/>
        <family val="2"/>
      </rPr>
      <t>t</t>
    </r>
  </si>
  <si>
    <r>
      <t>I</t>
    </r>
    <r>
      <rPr>
        <vertAlign val="subscript"/>
        <sz val="12"/>
        <rFont val="Arial"/>
        <family val="2"/>
      </rPr>
      <t>t</t>
    </r>
  </si>
  <si>
    <r>
      <t>PR</t>
    </r>
    <r>
      <rPr>
        <vertAlign val="subscript"/>
        <sz val="12"/>
        <rFont val="Arial"/>
        <family val="2"/>
      </rPr>
      <t>t</t>
    </r>
  </si>
  <si>
    <t>Start Year</t>
  </si>
  <si>
    <t>Premium</t>
  </si>
  <si>
    <t>Commission</t>
  </si>
  <si>
    <t>Expenses</t>
  </si>
  <si>
    <t>Death Benefit</t>
  </si>
  <si>
    <t>Surrender Value per 1000</t>
  </si>
  <si>
    <t>Reserves per 1000</t>
  </si>
  <si>
    <t>Withdrawal benefit</t>
  </si>
  <si>
    <t>Reserve</t>
  </si>
  <si>
    <t>Capital</t>
  </si>
  <si>
    <t>Mortality Rate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</si>
  <si>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</si>
  <si>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</si>
  <si>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</si>
  <si>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</si>
  <si>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</si>
  <si>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</si>
  <si>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</si>
  <si>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</si>
  <si>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</si>
  <si>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</si>
  <si>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</si>
  <si>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</si>
  <si>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</si>
  <si>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</si>
  <si>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Withdrawals (eop)</t>
  </si>
  <si>
    <t>Cash Flow</t>
  </si>
  <si>
    <t>Reserve Increase</t>
  </si>
  <si>
    <t>Interest</t>
  </si>
  <si>
    <t>Profit</t>
  </si>
  <si>
    <t>Lives</t>
  </si>
  <si>
    <t xml:space="preserve"> </t>
  </si>
  <si>
    <t>Present Value of Profit</t>
  </si>
  <si>
    <t>Profit as % of Revenue</t>
  </si>
  <si>
    <t>Smoking Status (S/NS)</t>
  </si>
  <si>
    <t>NS</t>
  </si>
  <si>
    <t>Sex (M/F)</t>
  </si>
  <si>
    <t>F</t>
  </si>
  <si>
    <t>Issue age</t>
  </si>
  <si>
    <t>Death Benefit Amount</t>
  </si>
  <si>
    <t>Number of Policies</t>
  </si>
  <si>
    <t>Investment Earnings Rate</t>
  </si>
  <si>
    <t>Discount Rate</t>
  </si>
  <si>
    <t>Required Capital (per 1000 death benefit)</t>
  </si>
  <si>
    <t>Commissions (as % premium)</t>
  </si>
  <si>
    <t>1st year</t>
  </si>
  <si>
    <t>2nd year +</t>
  </si>
  <si>
    <t>Expenses (per policy)</t>
  </si>
  <si>
    <t>Smoking</t>
  </si>
  <si>
    <t>Total:</t>
  </si>
  <si>
    <t>Whole-Life Insurance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</si>
  <si>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</si>
  <si>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</si>
  <si>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</si>
  <si>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DB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</si>
  <si>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</si>
  <si>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</si>
  <si>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</si>
  <si>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Death Benefits
(eop)</t>
  </si>
  <si>
    <t>Issue Age</t>
  </si>
  <si>
    <t>Policy Type</t>
  </si>
  <si>
    <t>Whole Life</t>
  </si>
  <si>
    <t>Smoking Status</t>
  </si>
  <si>
    <t>Gender</t>
  </si>
  <si>
    <t>Age Group</t>
  </si>
  <si>
    <t>Nb policies</t>
  </si>
  <si>
    <t>Profit (no program)</t>
  </si>
  <si>
    <t>%revenue (no p)</t>
  </si>
  <si>
    <t>Profit (program)</t>
  </si>
  <si>
    <t>%revenue (program)</t>
  </si>
  <si>
    <t>S</t>
  </si>
  <si>
    <t>NA</t>
  </si>
  <si>
    <t>M</t>
  </si>
  <si>
    <t>TOTAL</t>
  </si>
  <si>
    <t>Profit margin before program</t>
  </si>
  <si>
    <t>Profit margin after program</t>
  </si>
  <si>
    <t>number</t>
  </si>
  <si>
    <t>percentage</t>
  </si>
  <si>
    <t>smokers</t>
  </si>
  <si>
    <t>non-smokers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</si>
</sst>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8" formatCode="&quot;$&quot;#,##0.00;[Red]\-&quot;$&quot;#,##0.00"/>
    <numFmt numFmtId="164" formatCode="&quot;$&quot;#,##0.00_);[Red]\(&quot;$&quot;#,##0.00\)"/>
    <numFmt numFmtId="165" formatCode="_(* #,##0.00_);_(* \(#,##0.00\);_(* &quot;-&quot;??_);_(@_)"/>
    <numFmt numFmtId="166" formatCode="0.0000"/>
    <numFmt numFmtId="167" formatCode="0.000"/>
    <numFmt numFmtId="168" formatCode="0.00000"/>
    <numFmt numFmtId="169" formatCode="_(* #,##0_);_(* \(#,##0\);_(* &quot;-&quot;??_);_(@_)"/>
    <numFmt numFmtId="170" formatCode="0.000000"/>
    <numFmt numFmtId="171" formatCode="#,##0.000000"/>
    <numFmt numFmtId="172" formatCode="_(* #,##0.000_);_(* \(#,##0.000\);_(* &quot;-&quot;??_);_(@_)"/>
    <numFmt numFmtId="173" formatCode="_(* #,##0.00000_);_(* \(#,##0.00000\);_(* &quot;-&quot;??_);_(@_)"/>
    <numFmt numFmtId="174" formatCode="_(* #,##0.0000_);_(* \(#,##0.0000\);_(* &quot;-&quot;??_);_(@_)"/>
    <numFmt numFmtId="175" formatCode="_(* #,##0.000000_);_(* \(#,##0.000000\);_(* &quot;-&quot;??_);_(@_)"/>
    <numFmt numFmtId="176" formatCode="_(* #,##0.000000_);_(* \(#,##0.000000\);_(* &quot;-&quot;??????_);_(@_)"/>
    <numFmt numFmtId="177" formatCode="_(* #,##0.00000000_);_(* \(#,##0.00000000\);_(* &quot;-&quot;??_);_(@_)"/>
    <numFmt numFmtId="178" formatCode="#,##0,,\ &quot;M&quot;"/>
  </numFmts>
  <fonts count="28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vertAlign val="subscript"/>
      <sz val="10"/>
      <name val="Arial"/>
      <family val="2"/>
    </font>
    <font>
      <b/>
      <sz val="10"/>
      <name val="Arial"/>
      <family val="2"/>
    </font>
    <font>
      <u/>
      <sz val="12"/>
      <color theme="10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4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family val="2"/>
      <scheme val="minor"/>
    </font>
    <font>
      <sz val="8"/>
      <name val="Aptos Narrow"/>
      <family val="2"/>
      <scheme val="minor"/>
    </font>
    <font>
      <vertAlign val="subscript"/>
      <sz val="12"/>
      <name val="Arial"/>
      <family val="2"/>
    </font>
    <font>
      <b/>
      <sz val="13"/>
      <color theme="3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2"/>
      <color theme="1"/>
      <name val="Aptos Narrow (body)"/>
    </font>
    <font>
      <sz val="12"/>
      <color rgb="FF000000"/>
      <name val="Aptos Narrow"/>
      <family val="2"/>
    </font>
  </fonts>
  <fills count="21">
    <fill>
      <patternFill patternType="none"/>
    </fill>
    <fill>
      <patternFill patternType="gray125"/>
    </fill>
    <fill>
      <patternFill patternType="solid">
        <fgColor rgb="FF024D7C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1"/>
      </left>
      <right style="thin">
        <color theme="2" tint="-9.9978637043366805E-2"/>
      </right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1"/>
      </left>
      <right style="thin">
        <color theme="2" tint="-9.9978637043366805E-2"/>
      </right>
      <top style="thin">
        <color theme="2" tint="-9.9978637043366805E-2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1"/>
      </bottom>
      <diagonal/>
    </border>
    <border>
      <left style="thin">
        <color theme="1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indexed="64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theme="2" tint="-9.9978637043366805E-2"/>
      </right>
      <top style="thin">
        <color indexed="64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theme="1"/>
      </bottom>
      <diagonal/>
    </border>
    <border>
      <left style="thin">
        <color theme="2" tint="-9.9978637043366805E-2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indexed="64"/>
      </bottom>
      <diagonal/>
    </border>
    <border>
      <left style="thin">
        <color theme="2" tint="-9.9978637043366805E-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2" tint="-9.9978637043366805E-2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2" tint="-9.9978637043366805E-2"/>
      </left>
      <right/>
      <top style="thin">
        <color indexed="64"/>
      </top>
      <bottom/>
      <diagonal/>
    </border>
    <border>
      <left style="thin">
        <color theme="2" tint="-9.9978637043366805E-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2" tint="-9.9978637043366805E-2"/>
      </left>
      <right/>
      <top style="thin">
        <color theme="1"/>
      </top>
      <bottom/>
      <diagonal/>
    </border>
    <border>
      <left style="thin">
        <color theme="2" tint="-9.9978637043366805E-2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/>
      <top style="thin">
        <color theme="2" tint="-9.9978637043366805E-2"/>
      </top>
      <bottom style="thin">
        <color indexed="64"/>
      </bottom>
      <diagonal/>
    </border>
  </borders>
  <cellStyleXfs count="15">
    <xf numFmtId="0" fontId="0" fillId="0" borderId="0"/>
    <xf numFmtId="9" fontId="2" fillId="0" borderId="0" applyFont="0" applyFill="0" applyBorder="0" applyAlignment="0" applyProtection="0"/>
    <xf numFmtId="0" fontId="4" fillId="0" borderId="0"/>
    <xf numFmtId="0" fontId="5" fillId="0" borderId="0"/>
    <xf numFmtId="0" fontId="5" fillId="0" borderId="0"/>
    <xf numFmtId="0" fontId="1" fillId="0" borderId="0"/>
    <xf numFmtId="165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4" borderId="2" applyNumberFormat="0" applyAlignment="0" applyProtection="0"/>
    <xf numFmtId="0" fontId="9" fillId="5" borderId="2" applyNumberFormat="0" applyAlignment="0" applyProtection="0"/>
    <xf numFmtId="0" fontId="2" fillId="6" borderId="3" applyNumberFormat="0" applyFont="0" applyAlignment="0" applyProtection="0"/>
    <xf numFmtId="0" fontId="13" fillId="0" borderId="0" applyNumberFormat="0" applyFill="0" applyBorder="0" applyAlignment="0" applyProtection="0"/>
    <xf numFmtId="0" fontId="14" fillId="5" borderId="5" applyNumberFormat="0" applyAlignment="0" applyProtection="0"/>
    <xf numFmtId="0" fontId="21" fillId="0" borderId="53" applyNumberFormat="0" applyFill="0" applyAlignment="0" applyProtection="0"/>
  </cellStyleXfs>
  <cellXfs count="284">
    <xf numFmtId="0" fontId="0" fillId="0" borderId="0" xfId="0"/>
    <xf numFmtId="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7"/>
    <xf numFmtId="0" fontId="7" fillId="0" borderId="1" xfId="8"/>
    <xf numFmtId="10" fontId="8" fillId="4" borderId="2" xfId="9" applyNumberFormat="1"/>
    <xf numFmtId="2" fontId="8" fillId="4" borderId="2" xfId="9" applyNumberFormat="1"/>
    <xf numFmtId="10" fontId="9" fillId="5" borderId="2" xfId="10" applyNumberFormat="1"/>
    <xf numFmtId="0" fontId="0" fillId="0" borderId="4" xfId="0" applyBorder="1"/>
    <xf numFmtId="0" fontId="0" fillId="0" borderId="4" xfId="1" applyNumberFormat="1" applyFont="1" applyBorder="1" applyAlignment="1">
      <alignment horizontal="center"/>
    </xf>
    <xf numFmtId="166" fontId="0" fillId="0" borderId="4" xfId="0" applyNumberFormat="1" applyBorder="1"/>
    <xf numFmtId="0" fontId="3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wrapText="1"/>
    </xf>
    <xf numFmtId="10" fontId="0" fillId="0" borderId="4" xfId="1" applyNumberFormat="1" applyFont="1" applyBorder="1" applyAlignment="1">
      <alignment horizontal="center"/>
    </xf>
    <xf numFmtId="10" fontId="0" fillId="0" borderId="4" xfId="0" applyNumberFormat="1" applyBorder="1"/>
    <xf numFmtId="0" fontId="0" fillId="7" borderId="4" xfId="0" applyFill="1" applyBorder="1"/>
    <xf numFmtId="167" fontId="0" fillId="0" borderId="4" xfId="0" applyNumberFormat="1" applyBorder="1"/>
    <xf numFmtId="10" fontId="0" fillId="0" borderId="4" xfId="1" applyNumberFormat="1" applyFont="1" applyBorder="1"/>
    <xf numFmtId="2" fontId="0" fillId="0" borderId="4" xfId="0" applyNumberFormat="1" applyBorder="1"/>
    <xf numFmtId="0" fontId="10" fillId="0" borderId="4" xfId="1" applyNumberFormat="1" applyFont="1" applyBorder="1" applyAlignment="1">
      <alignment horizontal="center"/>
    </xf>
    <xf numFmtId="0" fontId="10" fillId="0" borderId="0" xfId="1" applyNumberFormat="1" applyFont="1" applyAlignment="1">
      <alignment horizontal="center"/>
    </xf>
    <xf numFmtId="0" fontId="10" fillId="0" borderId="4" xfId="0" applyFont="1" applyBorder="1"/>
    <xf numFmtId="0" fontId="10" fillId="0" borderId="4" xfId="1" applyNumberFormat="1" applyFont="1" applyBorder="1" applyAlignment="1">
      <alignment horizontal="left"/>
    </xf>
    <xf numFmtId="169" fontId="0" fillId="0" borderId="0" xfId="6" applyNumberFormat="1" applyFont="1" applyAlignment="1"/>
    <xf numFmtId="170" fontId="0" fillId="0" borderId="0" xfId="1" applyNumberFormat="1" applyFont="1" applyAlignment="1"/>
    <xf numFmtId="1" fontId="0" fillId="0" borderId="0" xfId="0" quotePrefix="1" applyNumberFormat="1" applyAlignment="1">
      <alignment horizontal="center"/>
    </xf>
    <xf numFmtId="171" fontId="0" fillId="0" borderId="0" xfId="1" applyNumberFormat="1" applyFont="1" applyAlignment="1">
      <alignment horizontal="center"/>
    </xf>
    <xf numFmtId="0" fontId="13" fillId="0" borderId="0" xfId="12" applyAlignment="1">
      <alignment horizontal="left"/>
    </xf>
    <xf numFmtId="172" fontId="0" fillId="0" borderId="0" xfId="6" applyNumberFormat="1" applyFont="1"/>
    <xf numFmtId="172" fontId="0" fillId="0" borderId="0" xfId="0" applyNumberFormat="1"/>
    <xf numFmtId="175" fontId="0" fillId="0" borderId="0" xfId="6" applyNumberFormat="1" applyFont="1"/>
    <xf numFmtId="0" fontId="13" fillId="0" borderId="0" xfId="12"/>
    <xf numFmtId="10" fontId="0" fillId="7" borderId="4" xfId="0" applyNumberFormat="1" applyFill="1" applyBorder="1"/>
    <xf numFmtId="0" fontId="0" fillId="3" borderId="0" xfId="0" applyFill="1"/>
    <xf numFmtId="1" fontId="0" fillId="3" borderId="0" xfId="0" quotePrefix="1" applyNumberFormat="1" applyFill="1" applyAlignment="1">
      <alignment horizontal="center"/>
    </xf>
    <xf numFmtId="10" fontId="0" fillId="3" borderId="0" xfId="1" quotePrefix="1" applyNumberFormat="1" applyFon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165" fontId="12" fillId="0" borderId="0" xfId="0" applyNumberFormat="1" applyFont="1"/>
    <xf numFmtId="2" fontId="0" fillId="3" borderId="0" xfId="0" quotePrefix="1" applyNumberFormat="1" applyFill="1" applyAlignment="1">
      <alignment horizontal="center"/>
    </xf>
    <xf numFmtId="0" fontId="15" fillId="5" borderId="5" xfId="13" applyFont="1"/>
    <xf numFmtId="39" fontId="15" fillId="5" borderId="5" xfId="13" applyNumberFormat="1" applyFont="1" applyAlignment="1">
      <alignment horizontal="center"/>
    </xf>
    <xf numFmtId="0" fontId="16" fillId="0" borderId="0" xfId="0" applyFont="1" applyAlignment="1">
      <alignment horizontal="center"/>
    </xf>
    <xf numFmtId="177" fontId="0" fillId="0" borderId="0" xfId="6" applyNumberFormat="1" applyFont="1"/>
    <xf numFmtId="176" fontId="0" fillId="0" borderId="0" xfId="0" applyNumberFormat="1"/>
    <xf numFmtId="166" fontId="0" fillId="0" borderId="0" xfId="0" applyNumberFormat="1"/>
    <xf numFmtId="0" fontId="0" fillId="0" borderId="0" xfId="6" applyNumberFormat="1" applyFont="1"/>
    <xf numFmtId="166" fontId="0" fillId="0" borderId="0" xfId="6" applyNumberFormat="1" applyFont="1"/>
    <xf numFmtId="164" fontId="0" fillId="0" borderId="0" xfId="0" applyNumberFormat="1"/>
    <xf numFmtId="165" fontId="0" fillId="0" borderId="0" xfId="0" applyNumberFormat="1"/>
    <xf numFmtId="174" fontId="0" fillId="0" borderId="0" xfId="0" applyNumberFormat="1"/>
    <xf numFmtId="9" fontId="0" fillId="3" borderId="0" xfId="1" quotePrefix="1" applyFont="1" applyFill="1" applyAlignment="1">
      <alignment horizontal="center"/>
    </xf>
    <xf numFmtId="0" fontId="10" fillId="3" borderId="0" xfId="0" applyFont="1" applyFill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wrapText="1"/>
    </xf>
    <xf numFmtId="0" fontId="18" fillId="0" borderId="0" xfId="0" applyFont="1" applyAlignment="1">
      <alignment horizontal="right"/>
    </xf>
    <xf numFmtId="169" fontId="18" fillId="0" borderId="0" xfId="0" applyNumberFormat="1" applyFont="1"/>
    <xf numFmtId="0" fontId="17" fillId="12" borderId="0" xfId="0" applyFont="1" applyFill="1" applyAlignment="1">
      <alignment horizontal="center" wrapText="1"/>
    </xf>
    <xf numFmtId="10" fontId="0" fillId="0" borderId="0" xfId="0" applyNumberFormat="1"/>
    <xf numFmtId="172" fontId="0" fillId="0" borderId="0" xfId="6" applyNumberFormat="1" applyFont="1" applyFill="1"/>
    <xf numFmtId="173" fontId="0" fillId="0" borderId="0" xfId="6" applyNumberFormat="1" applyFont="1" applyFill="1"/>
    <xf numFmtId="174" fontId="0" fillId="0" borderId="0" xfId="6" applyNumberFormat="1" applyFont="1" applyFill="1"/>
    <xf numFmtId="0" fontId="0" fillId="0" borderId="0" xfId="0" quotePrefix="1"/>
    <xf numFmtId="37" fontId="15" fillId="5" borderId="5" xfId="13" quotePrefix="1" applyNumberFormat="1" applyFont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0" fillId="0" borderId="10" xfId="0" applyFont="1" applyBorder="1"/>
    <xf numFmtId="0" fontId="10" fillId="0" borderId="11" xfId="0" applyFont="1" applyBorder="1"/>
    <xf numFmtId="0" fontId="0" fillId="0" borderId="15" xfId="0" applyBorder="1"/>
    <xf numFmtId="0" fontId="9" fillId="5" borderId="2" xfId="10"/>
    <xf numFmtId="0" fontId="9" fillId="5" borderId="16" xfId="10" applyBorder="1"/>
    <xf numFmtId="0" fontId="9" fillId="5" borderId="17" xfId="10" applyBorder="1"/>
    <xf numFmtId="0" fontId="9" fillId="5" borderId="18" xfId="10" applyBorder="1"/>
    <xf numFmtId="0" fontId="0" fillId="0" borderId="11" xfId="0" applyBorder="1"/>
    <xf numFmtId="0" fontId="14" fillId="5" borderId="21" xfId="13" applyBorder="1"/>
    <xf numFmtId="0" fontId="14" fillId="5" borderId="5" xfId="13"/>
    <xf numFmtId="0" fontId="14" fillId="5" borderId="22" xfId="13" applyBorder="1"/>
    <xf numFmtId="0" fontId="14" fillId="5" borderId="23" xfId="13" applyBorder="1"/>
    <xf numFmtId="0" fontId="0" fillId="0" borderId="10" xfId="0" applyBorder="1"/>
    <xf numFmtId="0" fontId="10" fillId="0" borderId="25" xfId="0" applyFont="1" applyBorder="1"/>
    <xf numFmtId="0" fontId="10" fillId="0" borderId="26" xfId="0" applyFont="1" applyBorder="1"/>
    <xf numFmtId="0" fontId="6" fillId="0" borderId="0" xfId="7" applyAlignment="1">
      <alignment horizontal="left"/>
    </xf>
    <xf numFmtId="173" fontId="0" fillId="0" borderId="0" xfId="0" applyNumberFormat="1"/>
    <xf numFmtId="1" fontId="0" fillId="0" borderId="0" xfId="0" quotePrefix="1" applyNumberFormat="1"/>
    <xf numFmtId="165" fontId="18" fillId="0" borderId="0" xfId="0" applyNumberFormat="1" applyFont="1"/>
    <xf numFmtId="0" fontId="15" fillId="5" borderId="5" xfId="13" quotePrefix="1" applyFont="1"/>
    <xf numFmtId="0" fontId="0" fillId="11" borderId="0" xfId="0" quotePrefix="1" applyFill="1" applyAlignment="1">
      <alignment horizontal="center"/>
    </xf>
    <xf numFmtId="3" fontId="0" fillId="11" borderId="0" xfId="6" applyNumberFormat="1" applyFont="1" applyFill="1" applyAlignment="1">
      <alignment horizontal="center" vertical="center"/>
    </xf>
    <xf numFmtId="0" fontId="10" fillId="0" borderId="31" xfId="0" applyFont="1" applyBorder="1"/>
    <xf numFmtId="3" fontId="0" fillId="0" borderId="24" xfId="0" applyNumberFormat="1" applyBorder="1"/>
    <xf numFmtId="3" fontId="0" fillId="0" borderId="4" xfId="0" applyNumberFormat="1" applyBorder="1"/>
    <xf numFmtId="4" fontId="0" fillId="0" borderId="24" xfId="0" applyNumberFormat="1" applyBorder="1"/>
    <xf numFmtId="4" fontId="0" fillId="0" borderId="4" xfId="0" applyNumberFormat="1" applyBorder="1"/>
    <xf numFmtId="2" fontId="15" fillId="5" borderId="5" xfId="1" quotePrefix="1" applyNumberFormat="1" applyFont="1" applyFill="1" applyBorder="1" applyAlignment="1">
      <alignment horizontal="center"/>
    </xf>
    <xf numFmtId="39" fontId="15" fillId="5" borderId="5" xfId="13" quotePrefix="1" applyNumberFormat="1" applyFont="1" applyAlignment="1">
      <alignment horizontal="center"/>
    </xf>
    <xf numFmtId="2" fontId="15" fillId="5" borderId="5" xfId="1" applyNumberFormat="1" applyFont="1" applyFill="1" applyBorder="1" applyAlignment="1">
      <alignment horizontal="center"/>
    </xf>
    <xf numFmtId="37" fontId="0" fillId="11" borderId="0" xfId="0" applyNumberFormat="1" applyFill="1" applyAlignment="1">
      <alignment horizontal="center"/>
    </xf>
    <xf numFmtId="169" fontId="14" fillId="5" borderId="5" xfId="13" applyNumberFormat="1"/>
    <xf numFmtId="37" fontId="15" fillId="5" borderId="5" xfId="13" applyNumberFormat="1" applyFont="1" applyAlignment="1">
      <alignment horizontal="center"/>
    </xf>
    <xf numFmtId="0" fontId="10" fillId="0" borderId="30" xfId="0" quotePrefix="1" applyFont="1" applyBorder="1"/>
    <xf numFmtId="0" fontId="10" fillId="0" borderId="24" xfId="0" quotePrefix="1" applyFont="1" applyBorder="1"/>
    <xf numFmtId="3" fontId="10" fillId="0" borderId="34" xfId="0" applyNumberFormat="1" applyFont="1" applyBorder="1"/>
    <xf numFmtId="0" fontId="10" fillId="0" borderId="4" xfId="0" quotePrefix="1" applyFont="1" applyBorder="1"/>
    <xf numFmtId="3" fontId="10" fillId="0" borderId="35" xfId="0" applyNumberFormat="1" applyFont="1" applyBorder="1"/>
    <xf numFmtId="0" fontId="10" fillId="0" borderId="27" xfId="0" quotePrefix="1" applyFont="1" applyBorder="1"/>
    <xf numFmtId="0" fontId="10" fillId="0" borderId="28" xfId="0" quotePrefix="1" applyFont="1" applyBorder="1"/>
    <xf numFmtId="0" fontId="10" fillId="0" borderId="29" xfId="0" quotePrefix="1" applyFont="1" applyBorder="1"/>
    <xf numFmtId="3" fontId="10" fillId="0" borderId="36" xfId="0" applyNumberFormat="1" applyFont="1" applyBorder="1"/>
    <xf numFmtId="3" fontId="0" fillId="0" borderId="0" xfId="0" applyNumberFormat="1"/>
    <xf numFmtId="165" fontId="14" fillId="5" borderId="5" xfId="13" applyNumberFormat="1"/>
    <xf numFmtId="3" fontId="0" fillId="15" borderId="4" xfId="0" applyNumberFormat="1" applyFill="1" applyBorder="1"/>
    <xf numFmtId="3" fontId="0" fillId="15" borderId="24" xfId="0" applyNumberFormat="1" applyFill="1" applyBorder="1"/>
    <xf numFmtId="9" fontId="0" fillId="0" borderId="0" xfId="1" applyFont="1"/>
    <xf numFmtId="10" fontId="0" fillId="0" borderId="0" xfId="1" applyNumberFormat="1" applyFont="1"/>
    <xf numFmtId="4" fontId="0" fillId="3" borderId="0" xfId="0" applyNumberFormat="1" applyFill="1" applyAlignment="1">
      <alignment horizontal="center"/>
    </xf>
    <xf numFmtId="4" fontId="8" fillId="4" borderId="2" xfId="9" applyNumberFormat="1"/>
    <xf numFmtId="3" fontId="8" fillId="4" borderId="2" xfId="9" applyNumberFormat="1"/>
    <xf numFmtId="9" fontId="8" fillId="4" borderId="2" xfId="9" applyNumberFormat="1"/>
    <xf numFmtId="0" fontId="10" fillId="0" borderId="0" xfId="0" applyFont="1"/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0" borderId="38" xfId="0" applyFont="1" applyBorder="1" applyAlignment="1">
      <alignment horizontal="center"/>
    </xf>
    <xf numFmtId="168" fontId="0" fillId="0" borderId="14" xfId="0" applyNumberFormat="1" applyBorder="1"/>
    <xf numFmtId="168" fontId="0" fillId="0" borderId="15" xfId="0" applyNumberFormat="1" applyBorder="1"/>
    <xf numFmtId="170" fontId="14" fillId="5" borderId="20" xfId="13" applyNumberFormat="1" applyBorder="1"/>
    <xf numFmtId="170" fontId="14" fillId="5" borderId="8" xfId="13" applyNumberFormat="1" applyBorder="1"/>
    <xf numFmtId="170" fontId="14" fillId="5" borderId="21" xfId="13" applyNumberFormat="1" applyBorder="1"/>
    <xf numFmtId="170" fontId="14" fillId="5" borderId="5" xfId="13" applyNumberFormat="1"/>
    <xf numFmtId="168" fontId="0" fillId="0" borderId="0" xfId="0" applyNumberFormat="1"/>
    <xf numFmtId="170" fontId="0" fillId="0" borderId="0" xfId="0" applyNumberFormat="1"/>
    <xf numFmtId="168" fontId="0" fillId="0" borderId="12" xfId="0" applyNumberFormat="1" applyBorder="1"/>
    <xf numFmtId="168" fontId="0" fillId="0" borderId="6" xfId="0" applyNumberFormat="1" applyBorder="1"/>
    <xf numFmtId="168" fontId="0" fillId="0" borderId="13" xfId="0" applyNumberFormat="1" applyBorder="1"/>
    <xf numFmtId="168" fontId="9" fillId="5" borderId="17" xfId="10" applyNumberFormat="1" applyBorder="1"/>
    <xf numFmtId="168" fontId="9" fillId="5" borderId="2" xfId="10" applyNumberFormat="1"/>
    <xf numFmtId="170" fontId="14" fillId="5" borderId="39" xfId="13" applyNumberFormat="1" applyBorder="1"/>
    <xf numFmtId="1" fontId="14" fillId="5" borderId="21" xfId="13" applyNumberFormat="1" applyBorder="1"/>
    <xf numFmtId="1" fontId="14" fillId="5" borderId="5" xfId="13" applyNumberFormat="1"/>
    <xf numFmtId="1" fontId="14" fillId="5" borderId="39" xfId="13" applyNumberFormat="1" applyBorder="1"/>
    <xf numFmtId="1" fontId="14" fillId="5" borderId="22" xfId="13" applyNumberFormat="1" applyBorder="1"/>
    <xf numFmtId="1" fontId="14" fillId="5" borderId="23" xfId="13" applyNumberFormat="1" applyBorder="1"/>
    <xf numFmtId="1" fontId="14" fillId="5" borderId="40" xfId="13" applyNumberFormat="1" applyBorder="1"/>
    <xf numFmtId="3" fontId="8" fillId="15" borderId="14" xfId="9" applyNumberFormat="1" applyFill="1" applyBorder="1"/>
    <xf numFmtId="3" fontId="8" fillId="15" borderId="41" xfId="9" applyNumberFormat="1" applyFill="1" applyBorder="1"/>
    <xf numFmtId="3" fontId="8" fillId="15" borderId="42" xfId="9" applyNumberFormat="1" applyFill="1" applyBorder="1"/>
    <xf numFmtId="3" fontId="0" fillId="0" borderId="43" xfId="0" applyNumberFormat="1" applyBorder="1"/>
    <xf numFmtId="3" fontId="8" fillId="15" borderId="9" xfId="9" applyNumberFormat="1" applyFill="1" applyBorder="1"/>
    <xf numFmtId="3" fontId="0" fillId="15" borderId="43" xfId="0" applyNumberFormat="1" applyFill="1" applyBorder="1"/>
    <xf numFmtId="4" fontId="0" fillId="0" borderId="0" xfId="0" applyNumberFormat="1"/>
    <xf numFmtId="3" fontId="8" fillId="4" borderId="44" xfId="9" applyNumberFormat="1" applyBorder="1"/>
    <xf numFmtId="4" fontId="0" fillId="15" borderId="4" xfId="0" applyNumberFormat="1" applyFill="1" applyBorder="1"/>
    <xf numFmtId="3" fontId="8" fillId="4" borderId="41" xfId="9" applyNumberFormat="1" applyBorder="1"/>
    <xf numFmtId="0" fontId="10" fillId="0" borderId="19" xfId="0" applyFont="1" applyBorder="1"/>
    <xf numFmtId="0" fontId="10" fillId="0" borderId="45" xfId="0" applyFont="1" applyBorder="1"/>
    <xf numFmtId="0" fontId="10" fillId="0" borderId="46" xfId="0" applyFont="1" applyBorder="1"/>
    <xf numFmtId="4" fontId="0" fillId="15" borderId="43" xfId="0" applyNumberFormat="1" applyFill="1" applyBorder="1"/>
    <xf numFmtId="0" fontId="10" fillId="0" borderId="50" xfId="0" applyFont="1" applyBorder="1"/>
    <xf numFmtId="3" fontId="8" fillId="4" borderId="52" xfId="9" applyNumberFormat="1" applyBorder="1"/>
    <xf numFmtId="2" fontId="0" fillId="15" borderId="47" xfId="0" applyNumberFormat="1" applyFill="1" applyBorder="1"/>
    <xf numFmtId="2" fontId="0" fillId="15" borderId="48" xfId="0" applyNumberFormat="1" applyFill="1" applyBorder="1"/>
    <xf numFmtId="2" fontId="0" fillId="0" borderId="48" xfId="0" applyNumberFormat="1" applyBorder="1"/>
    <xf numFmtId="2" fontId="0" fillId="0" borderId="49" xfId="0" applyNumberFormat="1" applyBorder="1"/>
    <xf numFmtId="2" fontId="0" fillId="0" borderId="0" xfId="0" applyNumberFormat="1"/>
    <xf numFmtId="2" fontId="0" fillId="0" borderId="34" xfId="1" applyNumberFormat="1" applyFont="1" applyBorder="1"/>
    <xf numFmtId="2" fontId="0" fillId="0" borderId="35" xfId="1" applyNumberFormat="1" applyFont="1" applyBorder="1"/>
    <xf numFmtId="2" fontId="0" fillId="15" borderId="35" xfId="1" applyNumberFormat="1" applyFont="1" applyFill="1" applyBorder="1"/>
    <xf numFmtId="2" fontId="0" fillId="15" borderId="51" xfId="1" applyNumberFormat="1" applyFont="1" applyFill="1" applyBorder="1"/>
    <xf numFmtId="0" fontId="0" fillId="0" borderId="0" xfId="0" applyAlignment="1">
      <alignment vertical="top" wrapText="1"/>
    </xf>
    <xf numFmtId="10" fontId="10" fillId="0" borderId="0" xfId="1" applyNumberFormat="1" applyFont="1"/>
    <xf numFmtId="0" fontId="21" fillId="0" borderId="53" xfId="14"/>
    <xf numFmtId="0" fontId="0" fillId="0" borderId="54" xfId="0" applyBorder="1"/>
    <xf numFmtId="0" fontId="22" fillId="16" borderId="55" xfId="0" applyFont="1" applyFill="1" applyBorder="1"/>
    <xf numFmtId="0" fontId="0" fillId="0" borderId="55" xfId="0" applyBorder="1"/>
    <xf numFmtId="0" fontId="22" fillId="17" borderId="55" xfId="0" applyFont="1" applyFill="1" applyBorder="1"/>
    <xf numFmtId="0" fontId="10" fillId="0" borderId="6" xfId="0" applyFont="1" applyBorder="1"/>
    <xf numFmtId="0" fontId="10" fillId="0" borderId="13" xfId="0" applyFont="1" applyBorder="1"/>
    <xf numFmtId="0" fontId="8" fillId="4" borderId="2" xfId="9"/>
    <xf numFmtId="0" fontId="16" fillId="0" borderId="56" xfId="0" applyFont="1" applyBorder="1" applyAlignment="1">
      <alignment horizontal="center"/>
    </xf>
    <xf numFmtId="0" fontId="16" fillId="0" borderId="57" xfId="0" applyFont="1" applyBorder="1" applyAlignment="1">
      <alignment horizontal="center"/>
    </xf>
    <xf numFmtId="0" fontId="16" fillId="0" borderId="58" xfId="0" applyFont="1" applyBorder="1" applyAlignment="1">
      <alignment horizontal="center"/>
    </xf>
    <xf numFmtId="0" fontId="10" fillId="0" borderId="69" xfId="0" applyFont="1" applyBorder="1"/>
    <xf numFmtId="0" fontId="0" fillId="0" borderId="70" xfId="0" applyBorder="1"/>
    <xf numFmtId="0" fontId="0" fillId="0" borderId="69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67" xfId="0" applyBorder="1"/>
    <xf numFmtId="3" fontId="10" fillId="0" borderId="0" xfId="0" applyNumberFormat="1" applyFont="1"/>
    <xf numFmtId="0" fontId="22" fillId="16" borderId="55" xfId="0" applyFont="1" applyFill="1" applyBorder="1" applyAlignment="1">
      <alignment horizontal="right"/>
    </xf>
    <xf numFmtId="178" fontId="0" fillId="0" borderId="55" xfId="0" applyNumberFormat="1" applyBorder="1" applyAlignment="1">
      <alignment horizontal="right"/>
    </xf>
    <xf numFmtId="10" fontId="0" fillId="0" borderId="55" xfId="0" applyNumberFormat="1" applyBorder="1" applyAlignment="1">
      <alignment horizontal="right"/>
    </xf>
    <xf numFmtId="178" fontId="0" fillId="0" borderId="54" xfId="0" applyNumberFormat="1" applyBorder="1" applyAlignment="1">
      <alignment horizontal="right"/>
    </xf>
    <xf numFmtId="10" fontId="0" fillId="0" borderId="54" xfId="1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22" fillId="17" borderId="55" xfId="0" applyFont="1" applyFill="1" applyBorder="1" applyAlignment="1">
      <alignment horizontal="right"/>
    </xf>
    <xf numFmtId="2" fontId="0" fillId="0" borderId="0" xfId="0" quotePrefix="1" applyNumberFormat="1" applyAlignment="1">
      <alignment horizontal="center"/>
    </xf>
    <xf numFmtId="0" fontId="26" fillId="0" borderId="0" xfId="0" applyFont="1" applyAlignment="1">
      <alignment horizontal="justify" vertical="center" wrapText="1"/>
    </xf>
    <xf numFmtId="0" fontId="26" fillId="0" borderId="0" xfId="0" applyFont="1" applyAlignment="1">
      <alignment horizontal="right" vertical="center" wrapText="1"/>
    </xf>
    <xf numFmtId="8" fontId="26" fillId="0" borderId="0" xfId="0" applyNumberFormat="1" applyFont="1" applyAlignment="1">
      <alignment horizontal="right" vertical="center" wrapText="1"/>
    </xf>
    <xf numFmtId="0" fontId="10" fillId="0" borderId="0" xfId="0" applyFont="1" applyAlignment="1">
      <alignment horizontal="right"/>
    </xf>
    <xf numFmtId="10" fontId="0" fillId="0" borderId="59" xfId="1" applyNumberFormat="1" applyFont="1" applyBorder="1"/>
    <xf numFmtId="10" fontId="0" fillId="0" borderId="24" xfId="1" applyNumberFormat="1" applyFont="1" applyBorder="1"/>
    <xf numFmtId="10" fontId="0" fillId="0" borderId="47" xfId="1" applyNumberFormat="1" applyFont="1" applyBorder="1"/>
    <xf numFmtId="10" fontId="0" fillId="0" borderId="62" xfId="1" applyNumberFormat="1" applyFont="1" applyBorder="1"/>
    <xf numFmtId="10" fontId="0" fillId="0" borderId="60" xfId="1" applyNumberFormat="1" applyFont="1" applyBorder="1"/>
    <xf numFmtId="10" fontId="0" fillId="0" borderId="61" xfId="1" applyNumberFormat="1" applyFont="1" applyBorder="1"/>
    <xf numFmtId="0" fontId="25" fillId="16" borderId="12" xfId="0" applyFont="1" applyFill="1" applyBorder="1" applyAlignment="1">
      <alignment horizontal="center"/>
    </xf>
    <xf numFmtId="0" fontId="25" fillId="16" borderId="74" xfId="0" applyFont="1" applyFill="1" applyBorder="1" applyAlignment="1">
      <alignment horizontal="center"/>
    </xf>
    <xf numFmtId="0" fontId="25" fillId="16" borderId="75" xfId="0" applyFont="1" applyFill="1" applyBorder="1" applyAlignment="1">
      <alignment horizontal="center"/>
    </xf>
    <xf numFmtId="0" fontId="22" fillId="16" borderId="76" xfId="0" applyFont="1" applyFill="1" applyBorder="1"/>
    <xf numFmtId="10" fontId="0" fillId="0" borderId="77" xfId="1" applyNumberFormat="1" applyFont="1" applyBorder="1"/>
    <xf numFmtId="10" fontId="0" fillId="0" borderId="78" xfId="1" applyNumberFormat="1" applyFont="1" applyBorder="1"/>
    <xf numFmtId="0" fontId="22" fillId="16" borderId="79" xfId="0" applyFont="1" applyFill="1" applyBorder="1"/>
    <xf numFmtId="10" fontId="0" fillId="0" borderId="80" xfId="1" applyNumberFormat="1" applyFont="1" applyBorder="1"/>
    <xf numFmtId="10" fontId="0" fillId="0" borderId="81" xfId="1" applyNumberFormat="1" applyFont="1" applyBorder="1"/>
    <xf numFmtId="0" fontId="22" fillId="16" borderId="82" xfId="0" applyFont="1" applyFill="1" applyBorder="1"/>
    <xf numFmtId="10" fontId="0" fillId="0" borderId="51" xfId="1" applyNumberFormat="1" applyFont="1" applyBorder="1"/>
    <xf numFmtId="10" fontId="0" fillId="0" borderId="49" xfId="1" applyNumberFormat="1" applyFont="1" applyBorder="1"/>
    <xf numFmtId="10" fontId="2" fillId="0" borderId="0" xfId="0" applyNumberFormat="1" applyFont="1"/>
    <xf numFmtId="172" fontId="2" fillId="0" borderId="0" xfId="6" applyNumberFormat="1" applyFont="1"/>
    <xf numFmtId="173" fontId="2" fillId="0" borderId="0" xfId="6" applyNumberFormat="1" applyFont="1"/>
    <xf numFmtId="174" fontId="2" fillId="0" borderId="0" xfId="6" applyNumberFormat="1" applyFont="1"/>
    <xf numFmtId="0" fontId="2" fillId="0" borderId="0" xfId="6" applyNumberFormat="1" applyFont="1"/>
    <xf numFmtId="0" fontId="2" fillId="0" borderId="0" xfId="0" applyFont="1" applyAlignment="1">
      <alignment horizontal="center"/>
    </xf>
    <xf numFmtId="169" fontId="2" fillId="0" borderId="0" xfId="0" applyNumberFormat="1" applyFont="1"/>
    <xf numFmtId="1" fontId="2" fillId="0" borderId="0" xfId="0" applyNumberFormat="1" applyFont="1"/>
    <xf numFmtId="167" fontId="2" fillId="0" borderId="0" xfId="0" quotePrefix="1" applyNumberFormat="1" applyFont="1"/>
    <xf numFmtId="169" fontId="2" fillId="0" borderId="0" xfId="6" quotePrefix="1" applyNumberFormat="1" applyFont="1" applyAlignment="1"/>
    <xf numFmtId="0" fontId="2" fillId="0" borderId="0" xfId="0" applyFont="1"/>
    <xf numFmtId="170" fontId="2" fillId="12" borderId="0" xfId="0" applyNumberFormat="1" applyFont="1" applyFill="1"/>
    <xf numFmtId="170" fontId="2" fillId="12" borderId="0" xfId="0" quotePrefix="1" applyNumberFormat="1" applyFont="1" applyFill="1"/>
    <xf numFmtId="3" fontId="2" fillId="10" borderId="0" xfId="0" applyNumberFormat="1" applyFont="1" applyFill="1"/>
    <xf numFmtId="3" fontId="2" fillId="0" borderId="0" xfId="0" quotePrefix="1" applyNumberFormat="1" applyFont="1"/>
    <xf numFmtId="3" fontId="2" fillId="0" borderId="0" xfId="0" applyNumberFormat="1" applyFont="1"/>
    <xf numFmtId="168" fontId="2" fillId="0" borderId="0" xfId="0" applyNumberFormat="1" applyFont="1"/>
    <xf numFmtId="169" fontId="2" fillId="0" borderId="0" xfId="6" applyNumberFormat="1" applyFont="1" applyAlignment="1"/>
    <xf numFmtId="175" fontId="2" fillId="0" borderId="0" xfId="6" applyNumberFormat="1" applyFont="1"/>
    <xf numFmtId="1" fontId="2" fillId="0" borderId="0" xfId="0" quotePrefix="1" applyNumberFormat="1" applyFont="1" applyAlignment="1">
      <alignment horizontal="center"/>
    </xf>
    <xf numFmtId="1" fontId="2" fillId="0" borderId="0" xfId="0" quotePrefix="1" applyNumberFormat="1" applyFont="1"/>
    <xf numFmtId="1" fontId="2" fillId="12" borderId="0" xfId="0" quotePrefix="1" applyNumberFormat="1" applyFont="1" applyFill="1"/>
    <xf numFmtId="177" fontId="2" fillId="0" borderId="0" xfId="6" applyNumberFormat="1" applyFont="1"/>
    <xf numFmtId="169" fontId="2" fillId="0" borderId="0" xfId="6" applyNumberFormat="1" applyFont="1" applyFill="1" applyAlignment="1"/>
    <xf numFmtId="170" fontId="2" fillId="0" borderId="0" xfId="0" applyNumberFormat="1" applyFont="1"/>
    <xf numFmtId="167" fontId="2" fillId="12" borderId="0" xfId="0" quotePrefix="1" applyNumberFormat="1" applyFont="1" applyFill="1"/>
    <xf numFmtId="173" fontId="2" fillId="10" borderId="0" xfId="6" applyNumberFormat="1" applyFont="1" applyFill="1" applyAlignment="1"/>
    <xf numFmtId="173" fontId="2" fillId="0" borderId="0" xfId="6" quotePrefix="1" applyNumberFormat="1" applyFont="1" applyAlignment="1"/>
    <xf numFmtId="173" fontId="2" fillId="0" borderId="0" xfId="6" applyNumberFormat="1" applyFont="1" applyAlignment="1"/>
    <xf numFmtId="175" fontId="2" fillId="0" borderId="0" xfId="6" applyNumberFormat="1" applyFont="1" applyFill="1"/>
    <xf numFmtId="172" fontId="2" fillId="0" borderId="0" xfId="6" applyNumberFormat="1" applyFont="1" applyFill="1"/>
    <xf numFmtId="170" fontId="2" fillId="0" borderId="0" xfId="0" quotePrefix="1" applyNumberFormat="1" applyFont="1"/>
    <xf numFmtId="10" fontId="2" fillId="0" borderId="0" xfId="0" quotePrefix="1" applyNumberFormat="1" applyFont="1"/>
    <xf numFmtId="0" fontId="23" fillId="18" borderId="63" xfId="0" applyFont="1" applyFill="1" applyBorder="1" applyAlignment="1">
      <alignment horizontal="center" vertical="center"/>
    </xf>
    <xf numFmtId="0" fontId="23" fillId="18" borderId="64" xfId="0" applyFont="1" applyFill="1" applyBorder="1" applyAlignment="1">
      <alignment horizontal="center" vertical="center"/>
    </xf>
    <xf numFmtId="0" fontId="23" fillId="19" borderId="63" xfId="0" applyFont="1" applyFill="1" applyBorder="1" applyAlignment="1">
      <alignment horizontal="center" vertical="center"/>
    </xf>
    <xf numFmtId="0" fontId="23" fillId="19" borderId="65" xfId="0" applyFont="1" applyFill="1" applyBorder="1" applyAlignment="1">
      <alignment horizontal="center" vertical="center"/>
    </xf>
    <xf numFmtId="0" fontId="23" fillId="19" borderId="64" xfId="0" applyFont="1" applyFill="1" applyBorder="1" applyAlignment="1">
      <alignment horizontal="center" vertical="center"/>
    </xf>
    <xf numFmtId="0" fontId="23" fillId="20" borderId="63" xfId="0" applyFont="1" applyFill="1" applyBorder="1" applyAlignment="1">
      <alignment horizontal="center" vertical="center" wrapText="1"/>
    </xf>
    <xf numFmtId="0" fontId="23" fillId="20" borderId="65" xfId="0" applyFont="1" applyFill="1" applyBorder="1" applyAlignment="1">
      <alignment horizontal="center" vertical="center" wrapText="1"/>
    </xf>
    <xf numFmtId="0" fontId="23" fillId="20" borderId="64" xfId="0" applyFont="1" applyFill="1" applyBorder="1" applyAlignment="1">
      <alignment horizontal="center" vertical="center" wrapText="1"/>
    </xf>
    <xf numFmtId="0" fontId="13" fillId="0" borderId="0" xfId="12" applyAlignment="1">
      <alignment horizontal="left"/>
    </xf>
    <xf numFmtId="0" fontId="10" fillId="0" borderId="66" xfId="0" applyFont="1" applyBorder="1" applyAlignment="1">
      <alignment horizontal="center" wrapText="1"/>
    </xf>
    <xf numFmtId="0" fontId="10" fillId="0" borderId="67" xfId="0" applyFont="1" applyBorder="1" applyAlignment="1">
      <alignment horizontal="center" wrapText="1"/>
    </xf>
    <xf numFmtId="0" fontId="10" fillId="0" borderId="68" xfId="0" applyFont="1" applyBorder="1" applyAlignment="1">
      <alignment horizontal="center" wrapText="1"/>
    </xf>
    <xf numFmtId="0" fontId="24" fillId="0" borderId="66" xfId="0" applyFont="1" applyBorder="1" applyAlignment="1">
      <alignment horizontal="center"/>
    </xf>
    <xf numFmtId="0" fontId="24" fillId="0" borderId="67" xfId="0" applyFont="1" applyBorder="1" applyAlignment="1">
      <alignment horizontal="center"/>
    </xf>
    <xf numFmtId="0" fontId="24" fillId="0" borderId="68" xfId="0" applyFont="1" applyBorder="1" applyAlignment="1">
      <alignment horizontal="center"/>
    </xf>
    <xf numFmtId="0" fontId="10" fillId="0" borderId="69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70" xfId="0" applyFont="1" applyBorder="1" applyAlignment="1">
      <alignment horizontal="center"/>
    </xf>
    <xf numFmtId="0" fontId="0" fillId="6" borderId="3" xfId="11" applyFont="1" applyAlignment="1">
      <alignment horizontal="left" vertical="top" wrapText="1"/>
    </xf>
    <xf numFmtId="0" fontId="18" fillId="13" borderId="7" xfId="0" applyFont="1" applyFill="1" applyBorder="1" applyAlignment="1">
      <alignment horizontal="center"/>
    </xf>
    <xf numFmtId="0" fontId="18" fillId="13" borderId="19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7" fillId="10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17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7" fillId="11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0" fillId="0" borderId="32" xfId="0" applyFont="1" applyBorder="1" applyAlignment="1">
      <alignment horizontal="center"/>
    </xf>
    <xf numFmtId="0" fontId="10" fillId="0" borderId="33" xfId="0" applyFont="1" applyBorder="1" applyAlignment="1">
      <alignment horizontal="center"/>
    </xf>
  </cellXfs>
  <cellStyles count="15">
    <cellStyle name="Calculation" xfId="10" builtinId="22"/>
    <cellStyle name="Comma" xfId="6" builtinId="3"/>
    <cellStyle name="Heading 1" xfId="8" builtinId="16"/>
    <cellStyle name="Heading 2" xfId="14" builtinId="17"/>
    <cellStyle name="Hyperlink" xfId="12" builtinId="8"/>
    <cellStyle name="Input" xfId="9" builtinId="20"/>
    <cellStyle name="Normal" xfId="0" builtinId="0"/>
    <cellStyle name="Normal 2" xfId="3" xr:uid="{808BD705-35FE-4DF0-A29F-B117B4D7F58D}"/>
    <cellStyle name="Normal 3" xfId="4" xr:uid="{38B5A472-AC1A-47E9-BA38-5ECEC6A534B8}"/>
    <cellStyle name="Normal 4" xfId="5" xr:uid="{C067A272-2934-4A54-BE16-8476B84FC378}"/>
    <cellStyle name="Normal 5" xfId="2" xr:uid="{9AF1DDD8-67C3-4D48-8196-25A08EA8E32E}"/>
    <cellStyle name="Note" xfId="11" builtinId="10"/>
    <cellStyle name="Output" xfId="13" builtinId="21"/>
    <cellStyle name="Percent" xfId="1" builtinId="5"/>
    <cellStyle name="Title" xfId="7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Interest Rate and Inflation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'Interest Rates'!$B$4</c:f>
              <c:strCache>
                <c:ptCount val="1"/>
                <c:pt idx="0">
                  <c:v>Inflation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'Interest Rates'!$A$5:$A$66</c:f>
              <c:numCache>
                <c:formatCode>General</c:formatCode>
                <c:ptCount val="62"/>
                <c:pt idx="0">
                  <c:v>1962</c:v>
                </c:pt>
                <c:pt idx="1">
                  <c:v>1963</c:v>
                </c:pt>
                <c:pt idx="2">
                  <c:v>1964</c:v>
                </c:pt>
                <c:pt idx="3">
                  <c:v>1965</c:v>
                </c:pt>
                <c:pt idx="4">
                  <c:v>1966</c:v>
                </c:pt>
                <c:pt idx="5">
                  <c:v>1967</c:v>
                </c:pt>
                <c:pt idx="6">
                  <c:v>1968</c:v>
                </c:pt>
                <c:pt idx="7">
                  <c:v>1969</c:v>
                </c:pt>
                <c:pt idx="8">
                  <c:v>1970</c:v>
                </c:pt>
                <c:pt idx="9">
                  <c:v>1971</c:v>
                </c:pt>
                <c:pt idx="10">
                  <c:v>1972</c:v>
                </c:pt>
                <c:pt idx="11">
                  <c:v>1973</c:v>
                </c:pt>
                <c:pt idx="12">
                  <c:v>1974</c:v>
                </c:pt>
                <c:pt idx="13">
                  <c:v>1975</c:v>
                </c:pt>
                <c:pt idx="14">
                  <c:v>1976</c:v>
                </c:pt>
                <c:pt idx="15">
                  <c:v>1977</c:v>
                </c:pt>
                <c:pt idx="16">
                  <c:v>1978</c:v>
                </c:pt>
                <c:pt idx="17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3">
                  <c:v>1985</c:v>
                </c:pt>
                <c:pt idx="24">
                  <c:v>1986</c:v>
                </c:pt>
                <c:pt idx="25">
                  <c:v>1987</c:v>
                </c:pt>
                <c:pt idx="26">
                  <c:v>1988</c:v>
                </c:pt>
                <c:pt idx="27">
                  <c:v>1989</c:v>
                </c:pt>
                <c:pt idx="28">
                  <c:v>1990</c:v>
                </c:pt>
                <c:pt idx="29">
                  <c:v>1991</c:v>
                </c:pt>
                <c:pt idx="30">
                  <c:v>1992</c:v>
                </c:pt>
                <c:pt idx="31">
                  <c:v>1993</c:v>
                </c:pt>
                <c:pt idx="32">
                  <c:v>1994</c:v>
                </c:pt>
                <c:pt idx="33">
                  <c:v>1995</c:v>
                </c:pt>
                <c:pt idx="34">
                  <c:v>1996</c:v>
                </c:pt>
                <c:pt idx="35">
                  <c:v>1997</c:v>
                </c:pt>
                <c:pt idx="36">
                  <c:v>1998</c:v>
                </c:pt>
                <c:pt idx="37">
                  <c:v>1999</c:v>
                </c:pt>
                <c:pt idx="38">
                  <c:v>2000</c:v>
                </c:pt>
                <c:pt idx="39">
                  <c:v>2001</c:v>
                </c:pt>
                <c:pt idx="40">
                  <c:v>2002</c:v>
                </c:pt>
                <c:pt idx="41">
                  <c:v>2003</c:v>
                </c:pt>
                <c:pt idx="42">
                  <c:v>2004</c:v>
                </c:pt>
                <c:pt idx="43">
                  <c:v>2005</c:v>
                </c:pt>
                <c:pt idx="44">
                  <c:v>2006</c:v>
                </c:pt>
                <c:pt idx="45">
                  <c:v>2007</c:v>
                </c:pt>
                <c:pt idx="46">
                  <c:v>2008</c:v>
                </c:pt>
                <c:pt idx="47">
                  <c:v>2009</c:v>
                </c:pt>
                <c:pt idx="48">
                  <c:v>2010</c:v>
                </c:pt>
                <c:pt idx="49">
                  <c:v>2011</c:v>
                </c:pt>
                <c:pt idx="50">
                  <c:v>2012</c:v>
                </c:pt>
                <c:pt idx="51">
                  <c:v>2013</c:v>
                </c:pt>
                <c:pt idx="52">
                  <c:v>2014</c:v>
                </c:pt>
                <c:pt idx="53">
                  <c:v>2015</c:v>
                </c:pt>
                <c:pt idx="54">
                  <c:v>2016</c:v>
                </c:pt>
                <c:pt idx="55">
                  <c:v>2017</c:v>
                </c:pt>
                <c:pt idx="56">
                  <c:v>2018</c:v>
                </c:pt>
                <c:pt idx="57">
                  <c:v>2019</c:v>
                </c:pt>
                <c:pt idx="58">
                  <c:v>2020</c:v>
                </c:pt>
                <c:pt idx="59">
                  <c:v>2021</c:v>
                </c:pt>
                <c:pt idx="60">
                  <c:v>2022</c:v>
                </c:pt>
                <c:pt idx="61">
                  <c:v>2023</c:v>
                </c:pt>
              </c:numCache>
            </c:numRef>
          </c:xVal>
          <c:yVal>
            <c:numRef>
              <c:f>'Interest Rates'!$B$5:$B$66</c:f>
              <c:numCache>
                <c:formatCode>0.00%</c:formatCode>
                <c:ptCount val="62"/>
                <c:pt idx="0">
                  <c:v>2.6673631999999999E-2</c:v>
                </c:pt>
                <c:pt idx="1">
                  <c:v>2.3702668533333335E-2</c:v>
                </c:pt>
                <c:pt idx="2">
                  <c:v>2.6693036740740736E-2</c:v>
                </c:pt>
                <c:pt idx="3">
                  <c:v>3.4105323333333333E-2</c:v>
                </c:pt>
                <c:pt idx="4">
                  <c:v>3.1684033299999997E-2</c:v>
                </c:pt>
                <c:pt idx="5">
                  <c:v>3.1483028400000002E-2</c:v>
                </c:pt>
                <c:pt idx="6">
                  <c:v>3.1772340196296295E-2</c:v>
                </c:pt>
                <c:pt idx="7">
                  <c:v>3.1503442533333335E-2</c:v>
                </c:pt>
                <c:pt idx="8">
                  <c:v>4.5390332800000009E-2</c:v>
                </c:pt>
                <c:pt idx="9">
                  <c:v>5.1973570518518523E-2</c:v>
                </c:pt>
                <c:pt idx="10">
                  <c:v>5.5397710333333329E-2</c:v>
                </c:pt>
                <c:pt idx="11">
                  <c:v>7.9471174222222218E-2</c:v>
                </c:pt>
                <c:pt idx="12">
                  <c:v>0.12618325349999998</c:v>
                </c:pt>
                <c:pt idx="13">
                  <c:v>8.9067338666666676E-2</c:v>
                </c:pt>
                <c:pt idx="14">
                  <c:v>7.217955188148148E-2</c:v>
                </c:pt>
                <c:pt idx="15">
                  <c:v>8.346455333333333E-2</c:v>
                </c:pt>
                <c:pt idx="16">
                  <c:v>7.3698887733333343E-2</c:v>
                </c:pt>
                <c:pt idx="17">
                  <c:v>8.0648951933333338E-2</c:v>
                </c:pt>
                <c:pt idx="18">
                  <c:v>0.12546484140740741</c:v>
                </c:pt>
                <c:pt idx="19">
                  <c:v>0.11287804149999998</c:v>
                </c:pt>
                <c:pt idx="20">
                  <c:v>7.6312893125925929E-2</c:v>
                </c:pt>
                <c:pt idx="21">
                  <c:v>7.3369267533333338E-2</c:v>
                </c:pt>
                <c:pt idx="22">
                  <c:v>6.1599429200000007E-2</c:v>
                </c:pt>
                <c:pt idx="23">
                  <c:v>4.2521387248148149E-2</c:v>
                </c:pt>
                <c:pt idx="24">
                  <c:v>2.7344320185185192E-2</c:v>
                </c:pt>
                <c:pt idx="25">
                  <c:v>3.5579539680000001E-2</c:v>
                </c:pt>
                <c:pt idx="26">
                  <c:v>5.0628350443285716E-2</c:v>
                </c:pt>
                <c:pt idx="27">
                  <c:v>5.6895431132142849E-2</c:v>
                </c:pt>
                <c:pt idx="28">
                  <c:v>6.4297114885714296E-2</c:v>
                </c:pt>
                <c:pt idx="29">
                  <c:v>4.8223634920714291E-2</c:v>
                </c:pt>
                <c:pt idx="30">
                  <c:v>5.076984887557142E-2</c:v>
                </c:pt>
                <c:pt idx="31">
                  <c:v>4.3211130788571431E-2</c:v>
                </c:pt>
                <c:pt idx="32">
                  <c:v>4.239921134699999E-2</c:v>
                </c:pt>
                <c:pt idx="33">
                  <c:v>3.7261424979999999E-2</c:v>
                </c:pt>
                <c:pt idx="34">
                  <c:v>3.6067622297142859E-2</c:v>
                </c:pt>
                <c:pt idx="35">
                  <c:v>2.6732175608428568E-2</c:v>
                </c:pt>
                <c:pt idx="36">
                  <c:v>2.5266663142857141E-2</c:v>
                </c:pt>
                <c:pt idx="37">
                  <c:v>2.0848944912000001E-2</c:v>
                </c:pt>
                <c:pt idx="38">
                  <c:v>2.5151977645714287E-2</c:v>
                </c:pt>
                <c:pt idx="39">
                  <c:v>3.2963928272000002E-2</c:v>
                </c:pt>
                <c:pt idx="40">
                  <c:v>1.9913509137428571E-2</c:v>
                </c:pt>
                <c:pt idx="41">
                  <c:v>2.0713845652571426E-2</c:v>
                </c:pt>
                <c:pt idx="42">
                  <c:v>2.4807479425000004E-2</c:v>
                </c:pt>
                <c:pt idx="43">
                  <c:v>2.7161923795714284E-2</c:v>
                </c:pt>
                <c:pt idx="44">
                  <c:v>3.2009596657714294E-2</c:v>
                </c:pt>
                <c:pt idx="45">
                  <c:v>2.8195894034285716E-2</c:v>
                </c:pt>
                <c:pt idx="46">
                  <c:v>4.6307937936E-2</c:v>
                </c:pt>
                <c:pt idx="47">
                  <c:v>6.3339322865714276E-3</c:v>
                </c:pt>
                <c:pt idx="48">
                  <c:v>1.7606516267142852E-2</c:v>
                </c:pt>
                <c:pt idx="49">
                  <c:v>3.6908479792142859E-2</c:v>
                </c:pt>
                <c:pt idx="50">
                  <c:v>2.3045558612571432E-2</c:v>
                </c:pt>
                <c:pt idx="51">
                  <c:v>1.6590828662571434E-2</c:v>
                </c:pt>
                <c:pt idx="52">
                  <c:v>1.172091183171429E-2</c:v>
                </c:pt>
                <c:pt idx="53">
                  <c:v>1.9038239700000011E-3</c:v>
                </c:pt>
                <c:pt idx="54">
                  <c:v>6.4158351171428596E-3</c:v>
                </c:pt>
                <c:pt idx="55">
                  <c:v>1.6353262149714286E-2</c:v>
                </c:pt>
                <c:pt idx="56">
                  <c:v>1.8738527857714286E-2</c:v>
                </c:pt>
                <c:pt idx="57">
                  <c:v>1.709218832E-2</c:v>
                </c:pt>
                <c:pt idx="58">
                  <c:v>7.5123102214285737E-3</c:v>
                </c:pt>
                <c:pt idx="59">
                  <c:v>3.1581050683285712E-2</c:v>
                </c:pt>
                <c:pt idx="60">
                  <c:v>7.4072119931999983E-2</c:v>
                </c:pt>
                <c:pt idx="61">
                  <c:v>6.6500000000000004E-2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F7-4053-8411-3366C3F614F3}"/>
            </c:ext>
          </c:extLst>
        </c:ser>
        <c:ser>
          <c:idx val="4"/>
          <c:order val="1"/>
          <c:tx>
            <c:v>Inflation Projection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'Interest Rates'!$A$66:$A$66</c:f>
              <c:numCache>
                <c:formatCode>General</c:formatCode>
                <c:ptCount val="1"/>
                <c:pt idx="0">
                  <c:v>2023</c:v>
                </c:pt>
              </c:numCache>
            </c:numRef>
          </c:xVal>
          <c:yVal>
            <c:numRef>
              <c:f>'Interest Rates'!$B$66:$B$66</c:f>
              <c:numCache>
                <c:formatCode>0.00%</c:formatCode>
                <c:ptCount val="1"/>
                <c:pt idx="0">
                  <c:v>6.6500000000000004E-2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1F7-4053-8411-3366C3F614F3}"/>
            </c:ext>
          </c:extLst>
        </c:ser>
        <c:ser>
          <c:idx val="3"/>
          <c:order val="2"/>
          <c:tx>
            <c:strRef>
              <c:f>'Interest Rates'!$E$4</c:f>
              <c:strCache>
                <c:ptCount val="1"/>
                <c:pt idx="0">
                  <c:v>10-yr Risk Free Annual Spot 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'Interest Rates'!$A$5:$A$66</c:f>
              <c:numCache>
                <c:formatCode>General</c:formatCode>
                <c:ptCount val="62"/>
                <c:pt idx="0">
                  <c:v>1962</c:v>
                </c:pt>
                <c:pt idx="1">
                  <c:v>1963</c:v>
                </c:pt>
                <c:pt idx="2">
                  <c:v>1964</c:v>
                </c:pt>
                <c:pt idx="3">
                  <c:v>1965</c:v>
                </c:pt>
                <c:pt idx="4">
                  <c:v>1966</c:v>
                </c:pt>
                <c:pt idx="5">
                  <c:v>1967</c:v>
                </c:pt>
                <c:pt idx="6">
                  <c:v>1968</c:v>
                </c:pt>
                <c:pt idx="7">
                  <c:v>1969</c:v>
                </c:pt>
                <c:pt idx="8">
                  <c:v>1970</c:v>
                </c:pt>
                <c:pt idx="9">
                  <c:v>1971</c:v>
                </c:pt>
                <c:pt idx="10">
                  <c:v>1972</c:v>
                </c:pt>
                <c:pt idx="11">
                  <c:v>1973</c:v>
                </c:pt>
                <c:pt idx="12">
                  <c:v>1974</c:v>
                </c:pt>
                <c:pt idx="13">
                  <c:v>1975</c:v>
                </c:pt>
                <c:pt idx="14">
                  <c:v>1976</c:v>
                </c:pt>
                <c:pt idx="15">
                  <c:v>1977</c:v>
                </c:pt>
                <c:pt idx="16">
                  <c:v>1978</c:v>
                </c:pt>
                <c:pt idx="17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3">
                  <c:v>1985</c:v>
                </c:pt>
                <c:pt idx="24">
                  <c:v>1986</c:v>
                </c:pt>
                <c:pt idx="25">
                  <c:v>1987</c:v>
                </c:pt>
                <c:pt idx="26">
                  <c:v>1988</c:v>
                </c:pt>
                <c:pt idx="27">
                  <c:v>1989</c:v>
                </c:pt>
                <c:pt idx="28">
                  <c:v>1990</c:v>
                </c:pt>
                <c:pt idx="29">
                  <c:v>1991</c:v>
                </c:pt>
                <c:pt idx="30">
                  <c:v>1992</c:v>
                </c:pt>
                <c:pt idx="31">
                  <c:v>1993</c:v>
                </c:pt>
                <c:pt idx="32">
                  <c:v>1994</c:v>
                </c:pt>
                <c:pt idx="33">
                  <c:v>1995</c:v>
                </c:pt>
                <c:pt idx="34">
                  <c:v>1996</c:v>
                </c:pt>
                <c:pt idx="35">
                  <c:v>1997</c:v>
                </c:pt>
                <c:pt idx="36">
                  <c:v>1998</c:v>
                </c:pt>
                <c:pt idx="37">
                  <c:v>1999</c:v>
                </c:pt>
                <c:pt idx="38">
                  <c:v>2000</c:v>
                </c:pt>
                <c:pt idx="39">
                  <c:v>2001</c:v>
                </c:pt>
                <c:pt idx="40">
                  <c:v>2002</c:v>
                </c:pt>
                <c:pt idx="41">
                  <c:v>2003</c:v>
                </c:pt>
                <c:pt idx="42">
                  <c:v>2004</c:v>
                </c:pt>
                <c:pt idx="43">
                  <c:v>2005</c:v>
                </c:pt>
                <c:pt idx="44">
                  <c:v>2006</c:v>
                </c:pt>
                <c:pt idx="45">
                  <c:v>2007</c:v>
                </c:pt>
                <c:pt idx="46">
                  <c:v>2008</c:v>
                </c:pt>
                <c:pt idx="47">
                  <c:v>2009</c:v>
                </c:pt>
                <c:pt idx="48">
                  <c:v>2010</c:v>
                </c:pt>
                <c:pt idx="49">
                  <c:v>2011</c:v>
                </c:pt>
                <c:pt idx="50">
                  <c:v>2012</c:v>
                </c:pt>
                <c:pt idx="51">
                  <c:v>2013</c:v>
                </c:pt>
                <c:pt idx="52">
                  <c:v>2014</c:v>
                </c:pt>
                <c:pt idx="53">
                  <c:v>2015</c:v>
                </c:pt>
                <c:pt idx="54">
                  <c:v>2016</c:v>
                </c:pt>
                <c:pt idx="55">
                  <c:v>2017</c:v>
                </c:pt>
                <c:pt idx="56">
                  <c:v>2018</c:v>
                </c:pt>
                <c:pt idx="57">
                  <c:v>2019</c:v>
                </c:pt>
                <c:pt idx="58">
                  <c:v>2020</c:v>
                </c:pt>
                <c:pt idx="59">
                  <c:v>2021</c:v>
                </c:pt>
                <c:pt idx="60">
                  <c:v>2022</c:v>
                </c:pt>
                <c:pt idx="61">
                  <c:v>2023</c:v>
                </c:pt>
              </c:numCache>
            </c:numRef>
          </c:xVal>
          <c:yVal>
            <c:numRef>
              <c:f>'Interest Rates'!$E$5:$E$66</c:f>
              <c:numCache>
                <c:formatCode>0.00%</c:formatCode>
                <c:ptCount val="62"/>
                <c:pt idx="0">
                  <c:v>4.4910064186525482E-2</c:v>
                </c:pt>
                <c:pt idx="1">
                  <c:v>4.7524185853782201E-2</c:v>
                </c:pt>
                <c:pt idx="2">
                  <c:v>4.7899577910064273E-2</c:v>
                </c:pt>
                <c:pt idx="3">
                  <c:v>4.7450123637539969E-2</c:v>
                </c:pt>
                <c:pt idx="4">
                  <c:v>5.7902793143586651E-2</c:v>
                </c:pt>
                <c:pt idx="5">
                  <c:v>5.7907022005445861E-2</c:v>
                </c:pt>
                <c:pt idx="6">
                  <c:v>6.2264585311012068E-2</c:v>
                </c:pt>
                <c:pt idx="7">
                  <c:v>7.3879926266066612E-2</c:v>
                </c:pt>
                <c:pt idx="8">
                  <c:v>8.5487277274692061E-2</c:v>
                </c:pt>
                <c:pt idx="9">
                  <c:v>6.699548851518973E-2</c:v>
                </c:pt>
                <c:pt idx="10">
                  <c:v>7.10649204986539E-2</c:v>
                </c:pt>
                <c:pt idx="11">
                  <c:v>7.5715078259859875E-2</c:v>
                </c:pt>
                <c:pt idx="12">
                  <c:v>8.5940119154654077E-2</c:v>
                </c:pt>
                <c:pt idx="13">
                  <c:v>8.7474467648430962E-2</c:v>
                </c:pt>
                <c:pt idx="14">
                  <c:v>8.467969756603283E-2</c:v>
                </c:pt>
                <c:pt idx="15">
                  <c:v>8.4468543165432869E-2</c:v>
                </c:pt>
                <c:pt idx="16">
                  <c:v>9.7343516144740933E-2</c:v>
                </c:pt>
                <c:pt idx="17">
                  <c:v>0.11230737757701374</c:v>
                </c:pt>
                <c:pt idx="18">
                  <c:v>0.12575338099086411</c:v>
                </c:pt>
                <c:pt idx="19">
                  <c:v>0.14634890803662104</c:v>
                </c:pt>
                <c:pt idx="20">
                  <c:v>0.15033900082658244</c:v>
                </c:pt>
                <c:pt idx="21">
                  <c:v>0.12177931869684933</c:v>
                </c:pt>
                <c:pt idx="22">
                  <c:v>0.14426355961034837</c:v>
                </c:pt>
                <c:pt idx="23">
                  <c:v>0.12010295080739883</c:v>
                </c:pt>
                <c:pt idx="24">
                  <c:v>8.279690784256398E-2</c:v>
                </c:pt>
                <c:pt idx="25">
                  <c:v>0.17002881211572593</c:v>
                </c:pt>
                <c:pt idx="26">
                  <c:v>0.10327498228920698</c:v>
                </c:pt>
                <c:pt idx="27">
                  <c:v>9.9990276013257384E-2</c:v>
                </c:pt>
                <c:pt idx="28">
                  <c:v>0.10049709635259556</c:v>
                </c:pt>
                <c:pt idx="29">
                  <c:v>8.9025646741581296E-2</c:v>
                </c:pt>
                <c:pt idx="30">
                  <c:v>7.9466638426007374E-2</c:v>
                </c:pt>
                <c:pt idx="31">
                  <c:v>6.6084660467923356E-2</c:v>
                </c:pt>
                <c:pt idx="32">
                  <c:v>7.9835227716122198E-2</c:v>
                </c:pt>
                <c:pt idx="33">
                  <c:v>7.6006300871824778E-2</c:v>
                </c:pt>
                <c:pt idx="34">
                  <c:v>7.4330746914781462E-2</c:v>
                </c:pt>
                <c:pt idx="35">
                  <c:v>6.9166899785126551E-2</c:v>
                </c:pt>
                <c:pt idx="36">
                  <c:v>6.0255923553049942E-2</c:v>
                </c:pt>
                <c:pt idx="37">
                  <c:v>6.6134671926346339E-2</c:v>
                </c:pt>
                <c:pt idx="38">
                  <c:v>6.6852384141825413E-2</c:v>
                </c:pt>
                <c:pt idx="39">
                  <c:v>5.5276705137424179E-2</c:v>
                </c:pt>
                <c:pt idx="40">
                  <c:v>5.0694755439043865E-2</c:v>
                </c:pt>
                <c:pt idx="41">
                  <c:v>4.4819525095238372E-2</c:v>
                </c:pt>
                <c:pt idx="42">
                  <c:v>4.8519592145688545E-2</c:v>
                </c:pt>
                <c:pt idx="43">
                  <c:v>4.825143973856439E-2</c:v>
                </c:pt>
                <c:pt idx="44">
                  <c:v>5.6922800234602763E-2</c:v>
                </c:pt>
                <c:pt idx="45">
                  <c:v>5.0250095182681073E-2</c:v>
                </c:pt>
                <c:pt idx="46">
                  <c:v>4.2307541438046603E-2</c:v>
                </c:pt>
                <c:pt idx="47">
                  <c:v>3.8075498219758891E-2</c:v>
                </c:pt>
                <c:pt idx="48">
                  <c:v>3.6411617025032872E-2</c:v>
                </c:pt>
                <c:pt idx="49">
                  <c:v>3.1118401250797536E-2</c:v>
                </c:pt>
                <c:pt idx="50">
                  <c:v>2.0703178413459009E-2</c:v>
                </c:pt>
                <c:pt idx="51">
                  <c:v>2.7284830209590279E-2</c:v>
                </c:pt>
                <c:pt idx="52">
                  <c:v>2.8809341781802739E-2</c:v>
                </c:pt>
                <c:pt idx="53">
                  <c:v>2.4342029867318354E-2</c:v>
                </c:pt>
                <c:pt idx="54">
                  <c:v>2.0778523147049185E-2</c:v>
                </c:pt>
                <c:pt idx="55">
                  <c:v>2.6743097194220421E-2</c:v>
                </c:pt>
                <c:pt idx="56">
                  <c:v>3.240219020201518E-2</c:v>
                </c:pt>
                <c:pt idx="57">
                  <c:v>2.3242515674015897E-2</c:v>
                </c:pt>
                <c:pt idx="58">
                  <c:v>1.0315537751796923E-2</c:v>
                </c:pt>
                <c:pt idx="59">
                  <c:v>1.6621651741338887E-2</c:v>
                </c:pt>
                <c:pt idx="60">
                  <c:v>2.9007302841439993E-2</c:v>
                </c:pt>
                <c:pt idx="61">
                  <c:v>3.1177650651046069E-2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F7-4053-8411-3366C3F614F3}"/>
            </c:ext>
          </c:extLst>
        </c:ser>
        <c:ser>
          <c:idx val="5"/>
          <c:order val="3"/>
          <c:tx>
            <c:v>10-yr Risk Free Annual Spot Rate Projection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'Interest Rates'!$A$66:$A$66</c:f>
              <c:numCache>
                <c:formatCode>General</c:formatCode>
                <c:ptCount val="1"/>
                <c:pt idx="0">
                  <c:v>2023</c:v>
                </c:pt>
              </c:numCache>
            </c:numRef>
          </c:xVal>
          <c:yVal>
            <c:numRef>
              <c:f>'Interest Rates'!$E$66:$E$66</c:f>
              <c:numCache>
                <c:formatCode>0.00%</c:formatCode>
                <c:ptCount val="1"/>
                <c:pt idx="0">
                  <c:v>3.1177650651046069E-2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F7-4053-8411-3366C3F61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604735"/>
        <c:axId val="142596095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strRef>
                    <c:extLst>
                      <c:ext uri="{02D57815-91ED-43cb-92C2-25804820EDAC}">
                        <c15:formulaRef>
                          <c15:sqref>'Interest Rates'!$C$4</c15:sqref>
                        </c15:formulaRef>
                      </c:ext>
                    </c:extLst>
                    <c:strCache>
                      <c:ptCount val="1"/>
                      <c:pt idx="0">
                        <c:v>Government of Lumaria Overnight Rate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'Interest Rates'!$A$5:$A$66</c15:sqref>
                        </c15:formulaRef>
                      </c:ext>
                    </c:extLst>
                    <c:numCache>
                      <c:formatCode>General</c:formatCode>
                      <c:ptCount val="62"/>
                      <c:pt idx="0">
                        <c:v>1962</c:v>
                      </c:pt>
                      <c:pt idx="1">
                        <c:v>1963</c:v>
                      </c:pt>
                      <c:pt idx="2">
                        <c:v>1964</c:v>
                      </c:pt>
                      <c:pt idx="3">
                        <c:v>1965</c:v>
                      </c:pt>
                      <c:pt idx="4">
                        <c:v>1966</c:v>
                      </c:pt>
                      <c:pt idx="5">
                        <c:v>1967</c:v>
                      </c:pt>
                      <c:pt idx="6">
                        <c:v>1968</c:v>
                      </c:pt>
                      <c:pt idx="7">
                        <c:v>1969</c:v>
                      </c:pt>
                      <c:pt idx="8">
                        <c:v>1970</c:v>
                      </c:pt>
                      <c:pt idx="9">
                        <c:v>1971</c:v>
                      </c:pt>
                      <c:pt idx="10">
                        <c:v>1972</c:v>
                      </c:pt>
                      <c:pt idx="11">
                        <c:v>1973</c:v>
                      </c:pt>
                      <c:pt idx="12">
                        <c:v>1974</c:v>
                      </c:pt>
                      <c:pt idx="13">
                        <c:v>1975</c:v>
                      </c:pt>
                      <c:pt idx="14">
                        <c:v>1976</c:v>
                      </c:pt>
                      <c:pt idx="15">
                        <c:v>1977</c:v>
                      </c:pt>
                      <c:pt idx="16">
                        <c:v>1978</c:v>
                      </c:pt>
                      <c:pt idx="17">
                        <c:v>1979</c:v>
                      </c:pt>
                      <c:pt idx="18">
                        <c:v>1980</c:v>
                      </c:pt>
                      <c:pt idx="19">
                        <c:v>1981</c:v>
                      </c:pt>
                      <c:pt idx="20">
                        <c:v>1982</c:v>
                      </c:pt>
                      <c:pt idx="21">
                        <c:v>1983</c:v>
                      </c:pt>
                      <c:pt idx="22">
                        <c:v>1984</c:v>
                      </c:pt>
                      <c:pt idx="23">
                        <c:v>1985</c:v>
                      </c:pt>
                      <c:pt idx="24">
                        <c:v>1986</c:v>
                      </c:pt>
                      <c:pt idx="25">
                        <c:v>1987</c:v>
                      </c:pt>
                      <c:pt idx="26">
                        <c:v>1988</c:v>
                      </c:pt>
                      <c:pt idx="27">
                        <c:v>1989</c:v>
                      </c:pt>
                      <c:pt idx="28">
                        <c:v>1990</c:v>
                      </c:pt>
                      <c:pt idx="29">
                        <c:v>1991</c:v>
                      </c:pt>
                      <c:pt idx="30">
                        <c:v>1992</c:v>
                      </c:pt>
                      <c:pt idx="31">
                        <c:v>1993</c:v>
                      </c:pt>
                      <c:pt idx="32">
                        <c:v>1994</c:v>
                      </c:pt>
                      <c:pt idx="33">
                        <c:v>1995</c:v>
                      </c:pt>
                      <c:pt idx="34">
                        <c:v>1996</c:v>
                      </c:pt>
                      <c:pt idx="35">
                        <c:v>1997</c:v>
                      </c:pt>
                      <c:pt idx="36">
                        <c:v>1998</c:v>
                      </c:pt>
                      <c:pt idx="37">
                        <c:v>1999</c:v>
                      </c:pt>
                      <c:pt idx="38">
                        <c:v>2000</c:v>
                      </c:pt>
                      <c:pt idx="39">
                        <c:v>2001</c:v>
                      </c:pt>
                      <c:pt idx="40">
                        <c:v>2002</c:v>
                      </c:pt>
                      <c:pt idx="41">
                        <c:v>2003</c:v>
                      </c:pt>
                      <c:pt idx="42">
                        <c:v>2004</c:v>
                      </c:pt>
                      <c:pt idx="43">
                        <c:v>2005</c:v>
                      </c:pt>
                      <c:pt idx="44">
                        <c:v>2006</c:v>
                      </c:pt>
                      <c:pt idx="45">
                        <c:v>2007</c:v>
                      </c:pt>
                      <c:pt idx="46">
                        <c:v>2008</c:v>
                      </c:pt>
                      <c:pt idx="47">
                        <c:v>2009</c:v>
                      </c:pt>
                      <c:pt idx="48">
                        <c:v>2010</c:v>
                      </c:pt>
                      <c:pt idx="49">
                        <c:v>2011</c:v>
                      </c:pt>
                      <c:pt idx="50">
                        <c:v>2012</c:v>
                      </c:pt>
                      <c:pt idx="51">
                        <c:v>2013</c:v>
                      </c:pt>
                      <c:pt idx="52">
                        <c:v>2014</c:v>
                      </c:pt>
                      <c:pt idx="53">
                        <c:v>2015</c:v>
                      </c:pt>
                      <c:pt idx="54">
                        <c:v>2016</c:v>
                      </c:pt>
                      <c:pt idx="55">
                        <c:v>2017</c:v>
                      </c:pt>
                      <c:pt idx="56">
                        <c:v>2018</c:v>
                      </c:pt>
                      <c:pt idx="57">
                        <c:v>2019</c:v>
                      </c:pt>
                      <c:pt idx="58">
                        <c:v>2020</c:v>
                      </c:pt>
                      <c:pt idx="59">
                        <c:v>2021</c:v>
                      </c:pt>
                      <c:pt idx="60">
                        <c:v>2022</c:v>
                      </c:pt>
                      <c:pt idx="61">
                        <c:v>2023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'Interest Rates'!$C$5:$C$66</c15:sqref>
                        </c15:formulaRef>
                      </c:ext>
                    </c:extLst>
                    <c:numCache>
                      <c:formatCode>0.00%</c:formatCode>
                      <c:ptCount val="62"/>
                      <c:pt idx="0">
                        <c:v>3.0998218345205483E-2</c:v>
                      </c:pt>
                      <c:pt idx="1">
                        <c:v>3.7781979178082202E-2</c:v>
                      </c:pt>
                      <c:pt idx="2">
                        <c:v>3.975202163934427E-2</c:v>
                      </c:pt>
                      <c:pt idx="3">
                        <c:v>4.482697740273997E-2</c:v>
                      </c:pt>
                      <c:pt idx="4">
                        <c:v>5.9284651134246656E-2</c:v>
                      </c:pt>
                      <c:pt idx="5">
                        <c:v>4.8379695342465862E-2</c:v>
                      </c:pt>
                      <c:pt idx="6">
                        <c:v>6.2164373770492068E-2</c:v>
                      </c:pt>
                      <c:pt idx="7">
                        <c:v>9.0192171134246615E-2</c:v>
                      </c:pt>
                      <c:pt idx="8">
                        <c:v>8.304323568219206E-2</c:v>
                      </c:pt>
                      <c:pt idx="9">
                        <c:v>5.0380622904109724E-2</c:v>
                      </c:pt>
                      <c:pt idx="10">
                        <c:v>5.0394044065573906E-2</c:v>
                      </c:pt>
                      <c:pt idx="11">
                        <c:v>9.7040593402739878E-2</c:v>
                      </c:pt>
                      <c:pt idx="12">
                        <c:v>0.11895174286027409</c:v>
                      </c:pt>
                      <c:pt idx="13">
                        <c:v>6.3576081490410968E-2</c:v>
                      </c:pt>
                      <c:pt idx="14">
                        <c:v>5.5605304918032832E-2</c:v>
                      </c:pt>
                      <c:pt idx="15">
                        <c:v>6.3156586871232864E-2</c:v>
                      </c:pt>
                      <c:pt idx="16">
                        <c:v>9.2137595791780935E-2</c:v>
                      </c:pt>
                      <c:pt idx="17">
                        <c:v>0.13201939226301374</c:v>
                      </c:pt>
                      <c:pt idx="18">
                        <c:v>0.14647805027322411</c:v>
                      </c:pt>
                      <c:pt idx="19">
                        <c:v>0.17475082958904106</c:v>
                      </c:pt>
                      <c:pt idx="20">
                        <c:v>0.14184789917808244</c:v>
                      </c:pt>
                      <c:pt idx="21">
                        <c:v>9.9258547506849329E-2</c:v>
                      </c:pt>
                      <c:pt idx="22">
                        <c:v>0.11950175475409837</c:v>
                      </c:pt>
                      <c:pt idx="23">
                        <c:v>9.2658495210958827E-2</c:v>
                      </c:pt>
                      <c:pt idx="24">
                        <c:v>7.3279540558903983E-2</c:v>
                      </c:pt>
                      <c:pt idx="25">
                        <c:v>7.4324625139725931E-2</c:v>
                      </c:pt>
                      <c:pt idx="26">
                        <c:v>8.9444406557376968E-2</c:v>
                      </c:pt>
                      <c:pt idx="27">
                        <c:v>0.10835444462465739</c:v>
                      </c:pt>
                      <c:pt idx="28">
                        <c:v>9.5615081643835573E-2</c:v>
                      </c:pt>
                      <c:pt idx="29">
                        <c:v>6.5218252186301312E-2</c:v>
                      </c:pt>
                      <c:pt idx="30">
                        <c:v>4.1531679606557376E-2</c:v>
                      </c:pt>
                      <c:pt idx="31">
                        <c:v>3.4002162367123348E-2</c:v>
                      </c:pt>
                      <c:pt idx="32">
                        <c:v>4.807621277808221E-2</c:v>
                      </c:pt>
                      <c:pt idx="33">
                        <c:v>6.7835188953424788E-2</c:v>
                      </c:pt>
                      <c:pt idx="34">
                        <c:v>6.2317905879781463E-2</c:v>
                      </c:pt>
                      <c:pt idx="35">
                        <c:v>5.9672641534246555E-2</c:v>
                      </c:pt>
                      <c:pt idx="36">
                        <c:v>6.146911110136994E-2</c:v>
                      </c:pt>
                      <c:pt idx="37">
                        <c:v>5.8652146936986338E-2</c:v>
                      </c:pt>
                      <c:pt idx="38">
                        <c:v>6.9420924153005409E-2</c:v>
                      </c:pt>
                      <c:pt idx="39">
                        <c:v>4.2577898958904181E-2</c:v>
                      </c:pt>
                      <c:pt idx="40">
                        <c:v>1.8638732361643862E-2</c:v>
                      </c:pt>
                      <c:pt idx="41">
                        <c:v>1.2436354016438372E-2</c:v>
                      </c:pt>
                      <c:pt idx="42">
                        <c:v>1.5932011278688537E-2</c:v>
                      </c:pt>
                      <c:pt idx="43">
                        <c:v>3.6395135956164393E-2</c:v>
                      </c:pt>
                      <c:pt idx="44">
                        <c:v>5.8793393972602762E-2</c:v>
                      </c:pt>
                      <c:pt idx="45">
                        <c:v>5.4683335189041074E-2</c:v>
                      </c:pt>
                      <c:pt idx="46">
                        <c:v>2.2511140983606605E-2</c:v>
                      </c:pt>
                      <c:pt idx="47">
                        <c:v>2.2438520109588998E-3</c:v>
                      </c:pt>
                      <c:pt idx="48">
                        <c:v>2.4548940712328764E-3</c:v>
                      </c:pt>
                      <c:pt idx="49">
                        <c:v>1.5118654246575325E-3</c:v>
                      </c:pt>
                      <c:pt idx="50">
                        <c:v>1.9397888524590114E-3</c:v>
                      </c:pt>
                      <c:pt idx="51">
                        <c:v>1.6623473972602757E-3</c:v>
                      </c:pt>
                      <c:pt idx="52">
                        <c:v>1.4287859726027391E-3</c:v>
                      </c:pt>
                      <c:pt idx="53">
                        <c:v>1.9172020164383546E-3</c:v>
                      </c:pt>
                      <c:pt idx="54">
                        <c:v>4.6672853770491837E-3</c:v>
                      </c:pt>
                      <c:pt idx="55">
                        <c:v>1.1716365840220422E-2</c:v>
                      </c:pt>
                      <c:pt idx="56">
                        <c:v>2.0122779151515176E-2</c:v>
                      </c:pt>
                      <c:pt idx="57">
                        <c:v>2.3439266996015895E-2</c:v>
                      </c:pt>
                      <c:pt idx="58">
                        <c:v>4.2667003952569236E-3</c:v>
                      </c:pt>
                      <c:pt idx="59">
                        <c:v>1.268988888888885E-3</c:v>
                      </c:pt>
                      <c:pt idx="60">
                        <c:v>1.9959123583999993E-2</c:v>
                      </c:pt>
                      <c:pt idx="61">
                        <c:v>5.3871779925926067E-2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F7-4053-8411-3366C3F614F3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'Interest Rates'!$D$4</c15:sqref>
                        </c15:formulaRef>
                      </c:ext>
                    </c:extLst>
                    <c:strCache>
                      <c:ptCount val="1"/>
                      <c:pt idx="0">
                        <c:v>1-yr Risk Free Annual Spot Rate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'Interest Rates'!$A$5:$A$66</c15:sqref>
                        </c15:formulaRef>
                      </c:ext>
                    </c:extLst>
                    <c:numCache>
                      <c:formatCode>General</c:formatCode>
                      <c:ptCount val="62"/>
                      <c:pt idx="0">
                        <c:v>1962</c:v>
                      </c:pt>
                      <c:pt idx="1">
                        <c:v>1963</c:v>
                      </c:pt>
                      <c:pt idx="2">
                        <c:v>1964</c:v>
                      </c:pt>
                      <c:pt idx="3">
                        <c:v>1965</c:v>
                      </c:pt>
                      <c:pt idx="4">
                        <c:v>1966</c:v>
                      </c:pt>
                      <c:pt idx="5">
                        <c:v>1967</c:v>
                      </c:pt>
                      <c:pt idx="6">
                        <c:v>1968</c:v>
                      </c:pt>
                      <c:pt idx="7">
                        <c:v>1969</c:v>
                      </c:pt>
                      <c:pt idx="8">
                        <c:v>1970</c:v>
                      </c:pt>
                      <c:pt idx="9">
                        <c:v>1971</c:v>
                      </c:pt>
                      <c:pt idx="10">
                        <c:v>1972</c:v>
                      </c:pt>
                      <c:pt idx="11">
                        <c:v>1973</c:v>
                      </c:pt>
                      <c:pt idx="12">
                        <c:v>1974</c:v>
                      </c:pt>
                      <c:pt idx="13">
                        <c:v>1975</c:v>
                      </c:pt>
                      <c:pt idx="14">
                        <c:v>1976</c:v>
                      </c:pt>
                      <c:pt idx="15">
                        <c:v>1977</c:v>
                      </c:pt>
                      <c:pt idx="16">
                        <c:v>1978</c:v>
                      </c:pt>
                      <c:pt idx="17">
                        <c:v>1979</c:v>
                      </c:pt>
                      <c:pt idx="18">
                        <c:v>1980</c:v>
                      </c:pt>
                      <c:pt idx="19">
                        <c:v>1981</c:v>
                      </c:pt>
                      <c:pt idx="20">
                        <c:v>1982</c:v>
                      </c:pt>
                      <c:pt idx="21">
                        <c:v>1983</c:v>
                      </c:pt>
                      <c:pt idx="22">
                        <c:v>1984</c:v>
                      </c:pt>
                      <c:pt idx="23">
                        <c:v>1985</c:v>
                      </c:pt>
                      <c:pt idx="24">
                        <c:v>1986</c:v>
                      </c:pt>
                      <c:pt idx="25">
                        <c:v>1987</c:v>
                      </c:pt>
                      <c:pt idx="26">
                        <c:v>1988</c:v>
                      </c:pt>
                      <c:pt idx="27">
                        <c:v>1989</c:v>
                      </c:pt>
                      <c:pt idx="28">
                        <c:v>1990</c:v>
                      </c:pt>
                      <c:pt idx="29">
                        <c:v>1991</c:v>
                      </c:pt>
                      <c:pt idx="30">
                        <c:v>1992</c:v>
                      </c:pt>
                      <c:pt idx="31">
                        <c:v>1993</c:v>
                      </c:pt>
                      <c:pt idx="32">
                        <c:v>1994</c:v>
                      </c:pt>
                      <c:pt idx="33">
                        <c:v>1995</c:v>
                      </c:pt>
                      <c:pt idx="34">
                        <c:v>1996</c:v>
                      </c:pt>
                      <c:pt idx="35">
                        <c:v>1997</c:v>
                      </c:pt>
                      <c:pt idx="36">
                        <c:v>1998</c:v>
                      </c:pt>
                      <c:pt idx="37">
                        <c:v>1999</c:v>
                      </c:pt>
                      <c:pt idx="38">
                        <c:v>2000</c:v>
                      </c:pt>
                      <c:pt idx="39">
                        <c:v>2001</c:v>
                      </c:pt>
                      <c:pt idx="40">
                        <c:v>2002</c:v>
                      </c:pt>
                      <c:pt idx="41">
                        <c:v>2003</c:v>
                      </c:pt>
                      <c:pt idx="42">
                        <c:v>2004</c:v>
                      </c:pt>
                      <c:pt idx="43">
                        <c:v>2005</c:v>
                      </c:pt>
                      <c:pt idx="44">
                        <c:v>2006</c:v>
                      </c:pt>
                      <c:pt idx="45">
                        <c:v>2007</c:v>
                      </c:pt>
                      <c:pt idx="46">
                        <c:v>2008</c:v>
                      </c:pt>
                      <c:pt idx="47">
                        <c:v>2009</c:v>
                      </c:pt>
                      <c:pt idx="48">
                        <c:v>2010</c:v>
                      </c:pt>
                      <c:pt idx="49">
                        <c:v>2011</c:v>
                      </c:pt>
                      <c:pt idx="50">
                        <c:v>2012</c:v>
                      </c:pt>
                      <c:pt idx="51">
                        <c:v>2013</c:v>
                      </c:pt>
                      <c:pt idx="52">
                        <c:v>2014</c:v>
                      </c:pt>
                      <c:pt idx="53">
                        <c:v>2015</c:v>
                      </c:pt>
                      <c:pt idx="54">
                        <c:v>2016</c:v>
                      </c:pt>
                      <c:pt idx="55">
                        <c:v>2017</c:v>
                      </c:pt>
                      <c:pt idx="56">
                        <c:v>2018</c:v>
                      </c:pt>
                      <c:pt idx="57">
                        <c:v>2019</c:v>
                      </c:pt>
                      <c:pt idx="58">
                        <c:v>2020</c:v>
                      </c:pt>
                      <c:pt idx="59">
                        <c:v>2021</c:v>
                      </c:pt>
                      <c:pt idx="60">
                        <c:v>2022</c:v>
                      </c:pt>
                      <c:pt idx="61">
                        <c:v>2023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'Interest Rates'!$D$5:$D$66</c15:sqref>
                        </c15:formulaRef>
                      </c:ext>
                    </c:extLst>
                    <c:numCache>
                      <c:formatCode>0.00%</c:formatCode>
                      <c:ptCount val="62"/>
                      <c:pt idx="0">
                        <c:v>3.522354201348548E-2</c:v>
                      </c:pt>
                      <c:pt idx="1">
                        <c:v>3.9981264990762204E-2</c:v>
                      </c:pt>
                      <c:pt idx="2">
                        <c:v>4.3855623817344272E-2</c:v>
                      </c:pt>
                      <c:pt idx="3">
                        <c:v>4.5827559189539971E-2</c:v>
                      </c:pt>
                      <c:pt idx="4">
                        <c:v>6.1037977887186658E-2</c:v>
                      </c:pt>
                      <c:pt idx="5">
                        <c:v>5.6158957636865868E-2</c:v>
                      </c:pt>
                      <c:pt idx="6">
                        <c:v>6.2761961794492074E-2</c:v>
                      </c:pt>
                      <c:pt idx="7">
                        <c:v>7.9312116350246611E-2</c:v>
                      </c:pt>
                      <c:pt idx="8">
                        <c:v>8.0440911475112065E-2</c:v>
                      </c:pt>
                      <c:pt idx="9">
                        <c:v>5.287253288910973E-2</c:v>
                      </c:pt>
                      <c:pt idx="10">
                        <c:v>5.6343270400513901E-2</c:v>
                      </c:pt>
                      <c:pt idx="11">
                        <c:v>8.1423585440339882E-2</c:v>
                      </c:pt>
                      <c:pt idx="12">
                        <c:v>9.3636972886914083E-2</c:v>
                      </c:pt>
                      <c:pt idx="13">
                        <c:v>7.4133775291050974E-2</c:v>
                      </c:pt>
                      <c:pt idx="14">
                        <c:v>6.5130710889552829E-2</c:v>
                      </c:pt>
                      <c:pt idx="15">
                        <c:v>6.9180542275312867E-2</c:v>
                      </c:pt>
                      <c:pt idx="16">
                        <c:v>9.6499247049280923E-2</c:v>
                      </c:pt>
                      <c:pt idx="17">
                        <c:v>0.12595782100137376</c:v>
                      </c:pt>
                      <c:pt idx="18">
                        <c:v>0.13227854120394411</c:v>
                      </c:pt>
                      <c:pt idx="19">
                        <c:v>0.15611832922347105</c:v>
                      </c:pt>
                      <c:pt idx="20">
                        <c:v>0.14194773369153244</c:v>
                      </c:pt>
                      <c:pt idx="21">
                        <c:v>0.10467449706240933</c:v>
                      </c:pt>
                      <c:pt idx="22">
                        <c:v>0.12674800874929837</c:v>
                      </c:pt>
                      <c:pt idx="23">
                        <c:v>9.6029074733158845E-2</c:v>
                      </c:pt>
                      <c:pt idx="24">
                        <c:v>6.8867908701803981E-2</c:v>
                      </c:pt>
                      <c:pt idx="25">
                        <c:v>0.15075435823372596</c:v>
                      </c:pt>
                      <c:pt idx="26">
                        <c:v>9.0368061980616962E-2</c:v>
                      </c:pt>
                      <c:pt idx="27">
                        <c:v>0.10046028177665739</c:v>
                      </c:pt>
                      <c:pt idx="28">
                        <c:v>9.3063243387595571E-2</c:v>
                      </c:pt>
                      <c:pt idx="29">
                        <c:v>6.6660599344301311E-2</c:v>
                      </c:pt>
                      <c:pt idx="30">
                        <c:v>4.5172392942557378E-2</c:v>
                      </c:pt>
                      <c:pt idx="31">
                        <c:v>3.8308431925363345E-2</c:v>
                      </c:pt>
                      <c:pt idx="32">
                        <c:v>6.0588329112002209E-2</c:v>
                      </c:pt>
                      <c:pt idx="33">
                        <c:v>6.8861629848124786E-2</c:v>
                      </c:pt>
                      <c:pt idx="34">
                        <c:v>6.4418560921441465E-2</c:v>
                      </c:pt>
                      <c:pt idx="35">
                        <c:v>6.1265227448326562E-2</c:v>
                      </c:pt>
                      <c:pt idx="36">
                        <c:v>5.7858028643869942E-2</c:v>
                      </c:pt>
                      <c:pt idx="37">
                        <c:v>5.9656630492586335E-2</c:v>
                      </c:pt>
                      <c:pt idx="38">
                        <c:v>6.7865254389005425E-2</c:v>
                      </c:pt>
                      <c:pt idx="39">
                        <c:v>3.8171396547454182E-2</c:v>
                      </c:pt>
                      <c:pt idx="40">
                        <c:v>2.2309037860003864E-2</c:v>
                      </c:pt>
                      <c:pt idx="41">
                        <c:v>1.3632025391438372E-2</c:v>
                      </c:pt>
                      <c:pt idx="42">
                        <c:v>2.1860663582618536E-2</c:v>
                      </c:pt>
                      <c:pt idx="43">
                        <c:v>4.1035954847364393E-2</c:v>
                      </c:pt>
                      <c:pt idx="44">
                        <c:v>5.8493390822782758E-2</c:v>
                      </c:pt>
                      <c:pt idx="45">
                        <c:v>4.9066540206641071E-2</c:v>
                      </c:pt>
                      <c:pt idx="46">
                        <c:v>2.1342417318246602E-2</c:v>
                      </c:pt>
                      <c:pt idx="47">
                        <c:v>5.8516540626589002E-3</c:v>
                      </c:pt>
                      <c:pt idx="48">
                        <c:v>4.0831545512328765E-3</c:v>
                      </c:pt>
                      <c:pt idx="49">
                        <c:v>2.4081571006575324E-3</c:v>
                      </c:pt>
                      <c:pt idx="50">
                        <c:v>2.332307922259011E-3</c:v>
                      </c:pt>
                      <c:pt idx="51">
                        <c:v>1.9635326903602755E-3</c:v>
                      </c:pt>
                      <c:pt idx="52">
                        <c:v>1.8255826506427392E-3</c:v>
                      </c:pt>
                      <c:pt idx="53">
                        <c:v>4.0545706327583548E-3</c:v>
                      </c:pt>
                      <c:pt idx="54">
                        <c:v>7.0587429476091836E-3</c:v>
                      </c:pt>
                      <c:pt idx="55">
                        <c:v>1.3849602955390424E-2</c:v>
                      </c:pt>
                      <c:pt idx="56">
                        <c:v>2.1619337199015175E-2</c:v>
                      </c:pt>
                      <c:pt idx="57">
                        <c:v>2.2259810258975894E-2</c:v>
                      </c:pt>
                      <c:pt idx="58">
                        <c:v>4.2667003952569236E-3</c:v>
                      </c:pt>
                      <c:pt idx="59">
                        <c:v>1.5710776016888851E-3</c:v>
                      </c:pt>
                      <c:pt idx="60">
                        <c:v>2.0976343521499994E-2</c:v>
                      </c:pt>
                      <c:pt idx="61">
                        <c:v>7.0017169370726065E-2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F7-4053-8411-3366C3F614F3}"/>
                  </c:ext>
                </c:extLst>
              </c15:ser>
            </c15:filteredScatterSeries>
          </c:ext>
        </c:extLst>
      </c:scatterChart>
      <c:valAx>
        <c:axId val="142604735"/>
        <c:scaling>
          <c:orientation val="minMax"/>
          <c:max val="2025"/>
          <c:min val="196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  <a:alpha val="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96095"/>
        <c:crosses val="autoZero"/>
        <c:crossBetween val="midCat"/>
      </c:valAx>
      <c:valAx>
        <c:axId val="14259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04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Life Insurance</a:t>
            </a:r>
            <a:r>
              <a:rPr lang="en-GB" baseline="0"/>
              <a:t> Betas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'Interest Rates'!$J$4</c:f>
              <c:strCache>
                <c:ptCount val="1"/>
                <c:pt idx="0">
                  <c:v>Global LI beta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'Interest Rates'!$G$5:$G$15</c:f>
              <c:numCache>
                <c:formatCode>General</c:formatCod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</c:numCache>
            </c:numRef>
          </c:xVal>
          <c:yVal>
            <c:numRef>
              <c:f>'Interest Rates'!$J$5:$J$15</c:f>
              <c:numCache>
                <c:formatCode>0.0000</c:formatCode>
                <c:ptCount val="11"/>
                <c:pt idx="0">
                  <c:v>1.2076175666666662</c:v>
                </c:pt>
                <c:pt idx="1">
                  <c:v>1.036321026</c:v>
                </c:pt>
                <c:pt idx="2">
                  <c:v>1.0895631139444877</c:v>
                </c:pt>
                <c:pt idx="3">
                  <c:v>1.024224375</c:v>
                </c:pt>
                <c:pt idx="4">
                  <c:v>0.99617298600000004</c:v>
                </c:pt>
                <c:pt idx="5">
                  <c:v>0.96807860331325002</c:v>
                </c:pt>
                <c:pt idx="6">
                  <c:v>0.991516406340754</c:v>
                </c:pt>
                <c:pt idx="7">
                  <c:v>1.0009130721259367</c:v>
                </c:pt>
                <c:pt idx="8">
                  <c:v>1.0769915100844529</c:v>
                </c:pt>
                <c:pt idx="9">
                  <c:v>0.90378650219753498</c:v>
                </c:pt>
                <c:pt idx="10">
                  <c:v>0.88662318345492785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EF-47E0-9F1C-37A23997CE91}"/>
            </c:ext>
          </c:extLst>
        </c:ser>
        <c:ser>
          <c:idx val="1"/>
          <c:order val="1"/>
          <c:tx>
            <c:strRef>
              <c:f>'Interest Rates'!$H$4</c:f>
              <c:strCache>
                <c:ptCount val="1"/>
                <c:pt idx="0">
                  <c:v>US LI beta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'Interest Rates'!$G$6:$G$15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xVal>
          <c:yVal>
            <c:numRef>
              <c:f>'Interest Rates'!$H$6:$H$15</c:f>
              <c:numCache>
                <c:formatCode>General</c:formatCode>
                <c:ptCount val="10"/>
                <c:pt idx="0">
                  <c:v>1.04</c:v>
                </c:pt>
                <c:pt idx="1">
                  <c:v>1.28</c:v>
                </c:pt>
                <c:pt idx="2">
                  <c:v>1.03</c:v>
                </c:pt>
                <c:pt idx="3">
                  <c:v>1.01</c:v>
                </c:pt>
                <c:pt idx="4">
                  <c:v>1.1100000000000001</c:v>
                </c:pt>
                <c:pt idx="5">
                  <c:v>1.08</c:v>
                </c:pt>
                <c:pt idx="6">
                  <c:v>0.98</c:v>
                </c:pt>
                <c:pt idx="7">
                  <c:v>1.22</c:v>
                </c:pt>
                <c:pt idx="8">
                  <c:v>0.94</c:v>
                </c:pt>
                <c:pt idx="9">
                  <c:v>0.77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D5-DB4F-B3EB-103D9BEEFC47}"/>
            </c:ext>
          </c:extLst>
        </c:ser>
        <c:ser>
          <c:idx val="2"/>
          <c:order val="2"/>
          <c:tx>
            <c:strRef>
              <c:f>'Interest Rates'!$I$4</c:f>
              <c:strCache>
                <c:ptCount val="1"/>
                <c:pt idx="0">
                  <c:v>Europe LI beta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'Interest Rates'!$G$6:$G$15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xVal>
          <c:yVal>
            <c:numRef>
              <c:f>'Interest Rates'!$I$6:$I$15</c:f>
              <c:numCache>
                <c:formatCode>General</c:formatCode>
                <c:ptCount val="10"/>
                <c:pt idx="0">
                  <c:v>1.97</c:v>
                </c:pt>
                <c:pt idx="1">
                  <c:v>1.73</c:v>
                </c:pt>
                <c:pt idx="2">
                  <c:v>1.63</c:v>
                </c:pt>
                <c:pt idx="3">
                  <c:v>1.36</c:v>
                </c:pt>
                <c:pt idx="4">
                  <c:v>0.99</c:v>
                </c:pt>
                <c:pt idx="5">
                  <c:v>1.2</c:v>
                </c:pt>
                <c:pt idx="6">
                  <c:v>1.32</c:v>
                </c:pt>
                <c:pt idx="7">
                  <c:v>1.25</c:v>
                </c:pt>
                <c:pt idx="8">
                  <c:v>1.1200000000000001</c:v>
                </c:pt>
                <c:pt idx="9">
                  <c:v>1.1399999999999999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D5-DB4F-B3EB-103D9BEEF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234383"/>
        <c:axId val="957205583"/>
      </c:scatterChart>
      <c:valAx>
        <c:axId val="957234383"/>
        <c:scaling>
          <c:orientation val="minMax"/>
          <c:max val="2023"/>
          <c:min val="20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205583"/>
        <c:crosses val="autoZero"/>
        <c:crossBetween val="midCat"/>
      </c:valAx>
      <c:valAx>
        <c:axId val="95720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2343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S&amp;P500</a:t>
            </a:r>
            <a:r>
              <a:rPr lang="en-US" baseline="0"/>
              <a:t>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'Interest Rates'!$N$4</c:f>
              <c:strCache>
                <c:ptCount val="1"/>
                <c:pt idx="0">
                  <c:v>S&amp;P500 index return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'Interest Rates'!$L$6:$L$44</c:f>
              <c:numCache>
                <c:formatCode>General</c:formatCode>
                <c:ptCount val="39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  <c:pt idx="26">
                  <c:v>2011</c:v>
                </c:pt>
                <c:pt idx="27">
                  <c:v>2012</c:v>
                </c:pt>
                <c:pt idx="28">
                  <c:v>2013</c:v>
                </c:pt>
                <c:pt idx="29">
                  <c:v>2014</c:v>
                </c:pt>
                <c:pt idx="30">
                  <c:v>2015</c:v>
                </c:pt>
                <c:pt idx="31">
                  <c:v>2016</c:v>
                </c:pt>
                <c:pt idx="32">
                  <c:v>2017</c:v>
                </c:pt>
                <c:pt idx="33">
                  <c:v>2018</c:v>
                </c:pt>
                <c:pt idx="34">
                  <c:v>2019</c:v>
                </c:pt>
                <c:pt idx="35">
                  <c:v>2020</c:v>
                </c:pt>
                <c:pt idx="36">
                  <c:v>2021</c:v>
                </c:pt>
                <c:pt idx="37">
                  <c:v>2022</c:v>
                </c:pt>
                <c:pt idx="38">
                  <c:v>2023</c:v>
                </c:pt>
              </c:numCache>
            </c:numRef>
          </c:xVal>
          <c:yVal>
            <c:numRef>
              <c:f>'Interest Rates'!$N$6:$N$44</c:f>
              <c:numCache>
                <c:formatCode>0.00%</c:formatCode>
                <c:ptCount val="39"/>
                <c:pt idx="0">
                  <c:v>0.17897897403053564</c:v>
                </c:pt>
                <c:pt idx="1">
                  <c:v>0.29417314332879951</c:v>
                </c:pt>
                <c:pt idx="2">
                  <c:v>-6.2062101601019215E-2</c:v>
                </c:pt>
                <c:pt idx="3">
                  <c:v>0.15715561092274788</c:v>
                </c:pt>
                <c:pt idx="4">
                  <c:v>0.10626276899767118</c:v>
                </c:pt>
                <c:pt idx="5">
                  <c:v>4.5125825290615484E-2</c:v>
                </c:pt>
                <c:pt idx="6">
                  <c:v>0.18855583205853166</c:v>
                </c:pt>
                <c:pt idx="7">
                  <c:v>7.3389109235748151E-2</c:v>
                </c:pt>
                <c:pt idx="8">
                  <c:v>9.7611527639390072E-2</c:v>
                </c:pt>
                <c:pt idx="9">
                  <c:v>-2.323450997387444E-2</c:v>
                </c:pt>
                <c:pt idx="10">
                  <c:v>0.35202585439323153</c:v>
                </c:pt>
                <c:pt idx="11">
                  <c:v>0.23606167774404341</c:v>
                </c:pt>
                <c:pt idx="12">
                  <c:v>0.24692182592206335</c:v>
                </c:pt>
                <c:pt idx="13">
                  <c:v>0.30538211240045565</c:v>
                </c:pt>
                <c:pt idx="14">
                  <c:v>8.9728317850391814E-2</c:v>
                </c:pt>
                <c:pt idx="15">
                  <c:v>-2.0402128275951337E-2</c:v>
                </c:pt>
                <c:pt idx="16">
                  <c:v>-0.17262688946181293</c:v>
                </c:pt>
                <c:pt idx="17">
                  <c:v>-0.24287732339496448</c:v>
                </c:pt>
                <c:pt idx="18">
                  <c:v>0.32187681329610629</c:v>
                </c:pt>
                <c:pt idx="19">
                  <c:v>4.4327367126999695E-2</c:v>
                </c:pt>
                <c:pt idx="20">
                  <c:v>8.3647205403553748E-2</c:v>
                </c:pt>
                <c:pt idx="21">
                  <c:v>0.12355480863415691</c:v>
                </c:pt>
                <c:pt idx="22">
                  <c:v>-4.1502072960716396E-2</c:v>
                </c:pt>
                <c:pt idx="23">
                  <c:v>-0.40090676751337884</c:v>
                </c:pt>
                <c:pt idx="24">
                  <c:v>0.30027363357707149</c:v>
                </c:pt>
                <c:pt idx="25">
                  <c:v>0.1976496233140399</c:v>
                </c:pt>
                <c:pt idx="26">
                  <c:v>2.0441357806586291E-2</c:v>
                </c:pt>
                <c:pt idx="27">
                  <c:v>0.14149537582703364</c:v>
                </c:pt>
                <c:pt idx="28">
                  <c:v>0.18989258722549662</c:v>
                </c:pt>
                <c:pt idx="29">
                  <c:v>0.11915248489623775</c:v>
                </c:pt>
                <c:pt idx="30">
                  <c:v>-2.7443746722759288E-2</c:v>
                </c:pt>
                <c:pt idx="31">
                  <c:v>0.17453002141245411</c:v>
                </c:pt>
                <c:pt idx="32">
                  <c:v>0.23912724904102123</c:v>
                </c:pt>
                <c:pt idx="33">
                  <c:v>-4.2393064157577598E-2</c:v>
                </c:pt>
                <c:pt idx="34">
                  <c:v>0.19282567327505795</c:v>
                </c:pt>
                <c:pt idx="35">
                  <c:v>0.15151664443862289</c:v>
                </c:pt>
                <c:pt idx="36">
                  <c:v>0.21573991372593015</c:v>
                </c:pt>
                <c:pt idx="37">
                  <c:v>-9.7208474262415967E-2</c:v>
                </c:pt>
                <c:pt idx="38">
                  <c:v>0.18864980265719455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FD-E947-8E94-362ADE15A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703584"/>
        <c:axId val="1149454783"/>
      </c:scatterChart>
      <c:valAx>
        <c:axId val="135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454783"/>
        <c:crosses val="autoZero"/>
        <c:crossBetween val="midCat"/>
      </c:valAx>
      <c:valAx>
        <c:axId val="114945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703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Mortality Rates Assumption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'Mortality Rates'!$B$5</c:f>
              <c:strCache>
                <c:ptCount val="1"/>
                <c:pt idx="0">
                  <c:v>Smoker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Rates'!$B$6:$B$99</c:f>
              <c:numCache>
                <c:formatCode>0.000000</c:formatCode>
                <c:ptCount val="94"/>
                <c:pt idx="0">
                  <c:v>2.4628897257132402E-3</c:v>
                </c:pt>
                <c:pt idx="1">
                  <c:v>2.0497572492542779E-3</c:v>
                </c:pt>
                <c:pt idx="2">
                  <c:v>1.7045910983568429E-3</c:v>
                </c:pt>
                <c:pt idx="3">
                  <c:v>1.4206110895486411E-3</c:v>
                </c:pt>
                <c:pt idx="4">
                  <c:v>1.191037039357377E-3</c:v>
                </c:pt>
                <c:pt idx="5">
                  <c:v>1.010546323388019E-3</c:v>
                </c:pt>
                <c:pt idx="6">
                  <c:v>8.846211672405473E-4</c:v>
                </c:pt>
                <c:pt idx="7">
                  <c:v>8.2268866243518073E-4</c:v>
                </c:pt>
                <c:pt idx="8">
                  <c:v>8.3417590049213999E-4</c:v>
                </c:pt>
                <c:pt idx="9">
                  <c:v>9.2850997293164562E-4</c:v>
                </c:pt>
                <c:pt idx="10">
                  <c:v>1.056361572673438E-3</c:v>
                </c:pt>
                <c:pt idx="11">
                  <c:v>1.1931616666895769E-3</c:v>
                </c:pt>
                <c:pt idx="12">
                  <c:v>1.385477757578766E-3</c:v>
                </c:pt>
                <c:pt idx="13">
                  <c:v>1.6798773479397061E-3</c:v>
                </c:pt>
                <c:pt idx="14">
                  <c:v>2.122927940371098E-3</c:v>
                </c:pt>
                <c:pt idx="15">
                  <c:v>2.611535225382094E-3</c:v>
                </c:pt>
                <c:pt idx="16">
                  <c:v>3.0878343183457259E-3</c:v>
                </c:pt>
                <c:pt idx="17">
                  <c:v>3.6662368591565261E-3</c:v>
                </c:pt>
                <c:pt idx="18">
                  <c:v>4.4611544877090278E-3</c:v>
                </c:pt>
                <c:pt idx="19">
                  <c:v>5.5869988438977626E-3</c:v>
                </c:pt>
                <c:pt idx="20">
                  <c:v>6.9579578979762271E-3</c:v>
                </c:pt>
                <c:pt idx="21">
                  <c:v>8.454704459296249E-3</c:v>
                </c:pt>
                <c:pt idx="22">
                  <c:v>1.014137742639986E-2</c:v>
                </c:pt>
                <c:pt idx="23">
                  <c:v>1.208211569782908E-2</c:v>
                </c:pt>
                <c:pt idx="24">
                  <c:v>1.4341058172125949E-2</c:v>
                </c:pt>
                <c:pt idx="25">
                  <c:v>1.6877668424988959E-2</c:v>
                </c:pt>
                <c:pt idx="26">
                  <c:v>1.963148287841043E-2</c:v>
                </c:pt>
                <c:pt idx="27">
                  <c:v>2.2636749700373129E-2</c:v>
                </c:pt>
                <c:pt idx="28">
                  <c:v>2.592771705885983E-2</c:v>
                </c:pt>
                <c:pt idx="29">
                  <c:v>2.9538633121853279E-2</c:v>
                </c:pt>
                <c:pt idx="30">
                  <c:v>3.3453705491651838E-2</c:v>
                </c:pt>
                <c:pt idx="31">
                  <c:v>3.7638467147007158E-2</c:v>
                </c:pt>
                <c:pt idx="32">
                  <c:v>4.2099154320582012E-2</c:v>
                </c:pt>
                <c:pt idx="33">
                  <c:v>4.6842003245039107E-2</c:v>
                </c:pt>
                <c:pt idx="34">
                  <c:v>5.1873250153041207E-2</c:v>
                </c:pt>
                <c:pt idx="35">
                  <c:v>5.7194074380615502E-2</c:v>
                </c:pt>
                <c:pt idx="36">
                  <c:v>6.2800561213726541E-2</c:v>
                </c:pt>
                <c:pt idx="37">
                  <c:v>6.8691305809943135E-2</c:v>
                </c:pt>
                <c:pt idx="38">
                  <c:v>7.4864903326834112E-2</c:v>
                </c:pt>
                <c:pt idx="39">
                  <c:v>8.1319948921968241E-2</c:v>
                </c:pt>
                <c:pt idx="40">
                  <c:v>8.5188041230534195E-2</c:v>
                </c:pt>
                <c:pt idx="41">
                  <c:v>8.9240124531543397E-2</c:v>
                </c:pt>
                <c:pt idx="42">
                  <c:v>9.3484950603030054E-2</c:v>
                </c:pt>
                <c:pt idx="43">
                  <c:v>9.7931687513074489E-2</c:v>
                </c:pt>
                <c:pt idx="44">
                  <c:v>0.10258993942119729</c:v>
                </c:pt>
                <c:pt idx="45">
                  <c:v>0.10746976732163246</c:v>
                </c:pt>
                <c:pt idx="46">
                  <c:v>0.11258171077328259</c:v>
                </c:pt>
                <c:pt idx="47">
                  <c:v>0.11793681066328865</c:v>
                </c:pt>
                <c:pt idx="48">
                  <c:v>0.12354663305337905</c:v>
                </c:pt>
                <c:pt idx="49">
                  <c:v>0.12942329416050249</c:v>
                </c:pt>
                <c:pt idx="50">
                  <c:v>0.13557948652569798</c:v>
                </c:pt>
                <c:pt idx="51">
                  <c:v>0.1420285064277223</c:v>
                </c:pt>
                <c:pt idx="52">
                  <c:v>0.14878428260064328</c:v>
                </c:pt>
                <c:pt idx="53">
                  <c:v>0.15586140631742393</c:v>
                </c:pt>
                <c:pt idx="54">
                  <c:v>0.16327516290447253</c:v>
                </c:pt>
                <c:pt idx="55">
                  <c:v>0.17104156475522464</c:v>
                </c:pt>
                <c:pt idx="56">
                  <c:v>0.17917738591406016</c:v>
                </c:pt>
                <c:pt idx="57">
                  <c:v>0.18770019830525064</c:v>
                </c:pt>
                <c:pt idx="58">
                  <c:v>0.19662840968518561</c:v>
                </c:pt>
                <c:pt idx="59">
                  <c:v>0.20598130339984644</c:v>
                </c:pt>
                <c:pt idx="60">
                  <c:v>0.21577908003339882</c:v>
                </c:pt>
                <c:pt idx="61">
                  <c:v>0.22604290103785538</c:v>
                </c:pt>
                <c:pt idx="62">
                  <c:v>0.23679493443804187</c:v>
                </c:pt>
                <c:pt idx="63">
                  <c:v>0.24805840271058199</c:v>
                </c:pt>
                <c:pt idx="64">
                  <c:v>0.25985763294030911</c:v>
                </c:pt>
                <c:pt idx="65">
                  <c:v>0.27221810936243612</c:v>
                </c:pt>
                <c:pt idx="66">
                  <c:v>0.285166528403963</c:v>
                </c:pt>
                <c:pt idx="67">
                  <c:v>0.29873085634320301</c:v>
                </c:pt>
                <c:pt idx="68">
                  <c:v>0.31294038971196175</c:v>
                </c:pt>
                <c:pt idx="69">
                  <c:v>0.32782581857082649</c:v>
                </c:pt>
                <c:pt idx="70">
                  <c:v>0.34341929279422939</c:v>
                </c:pt>
                <c:pt idx="71">
                  <c:v>0.35975449150844868</c:v>
                </c:pt>
                <c:pt idx="72">
                  <c:v>0.37686669583252153</c:v>
                </c:pt>
                <c:pt idx="73">
                  <c:v>0.39479286507917533</c:v>
                </c:pt>
                <c:pt idx="74">
                  <c:v>0.41357171658035879</c:v>
                </c:pt>
                <c:pt idx="75">
                  <c:v>0.4332438093097819</c:v>
                </c:pt>
                <c:pt idx="76">
                  <c:v>0.45385163148307228</c:v>
                </c:pt>
                <c:pt idx="77">
                  <c:v>0.47543969232475253</c:v>
                </c:pt>
                <c:pt idx="78">
                  <c:v>0.49805461820023511</c:v>
                </c:pt>
                <c:pt idx="79">
                  <c:v>0.52174525332046495</c:v>
                </c:pt>
                <c:pt idx="80">
                  <c:v>0.54656276523671365</c:v>
                </c:pt>
                <c:pt idx="81">
                  <c:v>0.57256075535337425</c:v>
                </c:pt>
                <c:pt idx="82">
                  <c:v>0.59979537469744526</c:v>
                </c:pt>
                <c:pt idx="83">
                  <c:v>0.62832544519474565</c:v>
                </c:pt>
                <c:pt idx="84">
                  <c:v>0.65821258671479521</c:v>
                </c:pt>
                <c:pt idx="85">
                  <c:v>0.68952135015875504</c:v>
                </c:pt>
                <c:pt idx="86">
                  <c:v>0.72231935687787363</c:v>
                </c:pt>
                <c:pt idx="87">
                  <c:v>0.75667744472355869</c:v>
                </c:pt>
                <c:pt idx="88">
                  <c:v>0.79266982104451644</c:v>
                </c:pt>
                <c:pt idx="89">
                  <c:v>0.83037422296140373</c:v>
                </c:pt>
                <c:pt idx="90">
                  <c:v>0.86987208526516058</c:v>
                </c:pt>
                <c:pt idx="91">
                  <c:v>0.91124871630164928</c:v>
                </c:pt>
                <c:pt idx="92">
                  <c:v>0.95459348222248475</c:v>
                </c:pt>
                <c:pt idx="93" formatCode="General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A38-B74E-B26F-B80DAB78F103}"/>
            </c:ext>
          </c:extLst>
        </c:ser>
        <c:ser>
          <c:idx val="2"/>
          <c:order val="1"/>
          <c:tx>
            <c:strRef>
              <c:f>'Mortality Rates'!$C$5</c:f>
              <c:strCache>
                <c:ptCount val="1"/>
                <c:pt idx="0">
                  <c:v>Male non-smoker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Rates'!$C$6:$C$99</c:f>
              <c:numCache>
                <c:formatCode>0.000000</c:formatCode>
                <c:ptCount val="94"/>
                <c:pt idx="0">
                  <c:v>9.7970749495742532E-4</c:v>
                </c:pt>
                <c:pt idx="1">
                  <c:v>9.9476580867529263E-4</c:v>
                </c:pt>
                <c:pt idx="2">
                  <c:v>1.014219357170817E-3</c:v>
                </c:pt>
                <c:pt idx="3">
                  <c:v>1.037944019748036E-3</c:v>
                </c:pt>
                <c:pt idx="4">
                  <c:v>1.0658156757109871E-3</c:v>
                </c:pt>
                <c:pt idx="5">
                  <c:v>1.0977228664509871E-3</c:v>
                </c:pt>
                <c:pt idx="6">
                  <c:v>1.133772916095699E-3</c:v>
                </c:pt>
                <c:pt idx="7">
                  <c:v>1.1741698780536869E-3</c:v>
                </c:pt>
                <c:pt idx="8">
                  <c:v>1.219117805733514E-3</c:v>
                </c:pt>
                <c:pt idx="9">
                  <c:v>1.268820752543743E-3</c:v>
                </c:pt>
                <c:pt idx="10">
                  <c:v>1.321631347759794E-3</c:v>
                </c:pt>
                <c:pt idx="11">
                  <c:v>1.376757124882805E-3</c:v>
                </c:pt>
                <c:pt idx="12">
                  <c:v>1.435684493659915E-3</c:v>
                </c:pt>
                <c:pt idx="13">
                  <c:v>1.4998998638382629E-3</c:v>
                </c:pt>
                <c:pt idx="14">
                  <c:v>1.5708896451649881E-3</c:v>
                </c:pt>
                <c:pt idx="15">
                  <c:v>1.6448080937233121E-3</c:v>
                </c:pt>
                <c:pt idx="16">
                  <c:v>1.719851572691198E-3</c:v>
                </c:pt>
                <c:pt idx="17">
                  <c:v>1.800569652457896E-3</c:v>
                </c:pt>
                <c:pt idx="18">
                  <c:v>1.891511903412652E-3</c:v>
                </c:pt>
                <c:pt idx="19">
                  <c:v>1.997227895944715E-3</c:v>
                </c:pt>
                <c:pt idx="20">
                  <c:v>2.1156557395295532E-3</c:v>
                </c:pt>
                <c:pt idx="21">
                  <c:v>2.242146976693359E-3</c:v>
                </c:pt>
                <c:pt idx="22">
                  <c:v>2.3773713274014758E-3</c:v>
                </c:pt>
                <c:pt idx="23">
                  <c:v>2.5219985116192449E-3</c:v>
                </c:pt>
                <c:pt idx="24">
                  <c:v>2.6766982493120089E-3</c:v>
                </c:pt>
                <c:pt idx="25">
                  <c:v>2.8404800029696851E-3</c:v>
                </c:pt>
                <c:pt idx="26">
                  <c:v>3.0128364651107659E-3</c:v>
                </c:pt>
                <c:pt idx="27">
                  <c:v>3.1951622007434588E-3</c:v>
                </c:pt>
                <c:pt idx="28">
                  <c:v>3.388851774875972E-3</c:v>
                </c:pt>
                <c:pt idx="29">
                  <c:v>3.5952997525165111E-3</c:v>
                </c:pt>
                <c:pt idx="30">
                  <c:v>3.81394512914423E-3</c:v>
                </c:pt>
                <c:pt idx="31">
                  <c:v>4.04337390657563E-3</c:v>
                </c:pt>
                <c:pt idx="32">
                  <c:v>4.2837011593249404E-3</c:v>
                </c:pt>
                <c:pt idx="33">
                  <c:v>4.535041961906394E-3</c:v>
                </c:pt>
                <c:pt idx="34">
                  <c:v>4.7975113888342174E-3</c:v>
                </c:pt>
                <c:pt idx="35">
                  <c:v>5.0711911126013762E-3</c:v>
                </c:pt>
                <c:pt idx="36">
                  <c:v>5.3560698816997876E-3</c:v>
                </c:pt>
                <c:pt idx="37">
                  <c:v>5.6521233846421213E-3</c:v>
                </c:pt>
                <c:pt idx="38">
                  <c:v>5.9593273099410368E-3</c:v>
                </c:pt>
                <c:pt idx="39">
                  <c:v>6.2776573461092019E-3</c:v>
                </c:pt>
                <c:pt idx="40">
                  <c:v>6.8957122830799519E-3</c:v>
                </c:pt>
                <c:pt idx="41">
                  <c:v>7.5746166554456736E-3</c:v>
                </c:pt>
                <c:pt idx="42">
                  <c:v>8.320361279825432E-3</c:v>
                </c:pt>
                <c:pt idx="43">
                  <c:v>9.1395267874114002E-3</c:v>
                </c:pt>
                <c:pt idx="44">
                  <c:v>1.0039341693052442E-2</c:v>
                </c:pt>
                <c:pt idx="45">
                  <c:v>1.1027746181419903E-2</c:v>
                </c:pt>
                <c:pt idx="46">
                  <c:v>1.2113462173120398E-2</c:v>
                </c:pt>
                <c:pt idx="47">
                  <c:v>1.3306070289035746E-2</c:v>
                </c:pt>
                <c:pt idx="48">
                  <c:v>1.4616094392042154E-2</c:v>
                </c:pt>
                <c:pt idx="49">
                  <c:v>1.6055094452125225E-2</c:v>
                </c:pt>
                <c:pt idx="50">
                  <c:v>1.7635768554355048E-2</c:v>
                </c:pt>
                <c:pt idx="51">
                  <c:v>1.9372064949864452E-2</c:v>
                </c:pt>
                <c:pt idx="52">
                  <c:v>2.1279305138595429E-2</c:v>
                </c:pt>
                <c:pt idx="53">
                  <c:v>2.337431906992558E-2</c:v>
                </c:pt>
                <c:pt idx="54">
                  <c:v>2.5675593654217878E-2</c:v>
                </c:pt>
                <c:pt idx="55">
                  <c:v>2.8203435895795381E-2</c:v>
                </c:pt>
                <c:pt idx="56">
                  <c:v>3.0980152086865907E-2</c:v>
                </c:pt>
                <c:pt idx="57">
                  <c:v>3.4030244643647331E-2</c:v>
                </c:pt>
                <c:pt idx="58">
                  <c:v>3.7380628321623047E-2</c:v>
                </c:pt>
                <c:pt idx="59">
                  <c:v>4.1060867717863214E-2</c:v>
                </c:pt>
                <c:pt idx="60">
                  <c:v>4.5103438156190334E-2</c:v>
                </c:pt>
                <c:pt idx="61">
                  <c:v>4.9544012257302351E-2</c:v>
                </c:pt>
                <c:pt idx="62">
                  <c:v>5.4421774722618048E-2</c:v>
                </c:pt>
                <c:pt idx="63">
                  <c:v>5.9779768109573264E-2</c:v>
                </c:pt>
                <c:pt idx="64">
                  <c:v>6.566527264957292E-2</c:v>
                </c:pt>
                <c:pt idx="65">
                  <c:v>7.2130223460204951E-2</c:v>
                </c:pt>
                <c:pt idx="66">
                  <c:v>7.9231668833296715E-2</c:v>
                </c:pt>
                <c:pt idx="67">
                  <c:v>8.7032273642860064E-2</c:v>
                </c:pt>
                <c:pt idx="68">
                  <c:v>9.5600872315117505E-2</c:v>
                </c:pt>
                <c:pt idx="69">
                  <c:v>0.10501307624015165</c:v>
                </c:pt>
                <c:pt idx="70">
                  <c:v>0.11535194098512494</c:v>
                </c:pt>
                <c:pt idx="71">
                  <c:v>0.1267086991967214</c:v>
                </c:pt>
                <c:pt idx="72">
                  <c:v>0.13918356566011827</c:v>
                </c:pt>
                <c:pt idx="73">
                  <c:v>0.15288662161852351</c:v>
                </c:pt>
                <c:pt idx="74">
                  <c:v>0.1679387861567285</c:v>
                </c:pt>
                <c:pt idx="75">
                  <c:v>0.18447288322039998</c:v>
                </c:pt>
                <c:pt idx="76">
                  <c:v>0.20263481368674835</c:v>
                </c:pt>
                <c:pt idx="77">
                  <c:v>0.22258484282920604</c:v>
                </c:pt>
                <c:pt idx="78">
                  <c:v>0.24449901453701867</c:v>
                </c:pt>
                <c:pt idx="79">
                  <c:v>0.26857070476916306</c:v>
                </c:pt>
                <c:pt idx="80">
                  <c:v>0.29501232795064691</c:v>
                </c:pt>
                <c:pt idx="81">
                  <c:v>0.32405721136884402</c:v>
                </c:pt>
                <c:pt idx="82">
                  <c:v>0.3559616541099917</c:v>
                </c:pt>
                <c:pt idx="83">
                  <c:v>0.39100718870440671</c:v>
                </c:pt>
                <c:pt idx="84">
                  <c:v>0.42950306543772188</c:v>
                </c:pt>
                <c:pt idx="85">
                  <c:v>0.47178898125031071</c:v>
                </c:pt>
                <c:pt idx="86">
                  <c:v>0.51823807730536653</c:v>
                </c:pt>
                <c:pt idx="87">
                  <c:v>0.56926023167690543</c:v>
                </c:pt>
                <c:pt idx="88">
                  <c:v>0.62530567621316757</c:v>
                </c:pt>
                <c:pt idx="89">
                  <c:v>0.68686896949149678</c:v>
                </c:pt>
                <c:pt idx="90">
                  <c:v>0.754493360923014</c:v>
                </c:pt>
                <c:pt idx="91">
                  <c:v>0.82877558451700106</c:v>
                </c:pt>
                <c:pt idx="92">
                  <c:v>0.91037112460633385</c:v>
                </c:pt>
                <c:pt idx="93" formatCode="General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A38-B74E-B26F-B80DAB78F103}"/>
            </c:ext>
          </c:extLst>
        </c:ser>
        <c:ser>
          <c:idx val="0"/>
          <c:order val="2"/>
          <c:tx>
            <c:strRef>
              <c:f>'Mortality Rates'!$D$5</c:f>
              <c:strCache>
                <c:ptCount val="1"/>
                <c:pt idx="0">
                  <c:v>Female non-smoker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Rates'!$D$6:$D$99</c:f>
              <c:numCache>
                <c:formatCode>0.000000</c:formatCode>
                <c:ptCount val="94"/>
                <c:pt idx="0">
                  <c:v>4.6168831581160259E-4</c:v>
                </c:pt>
                <c:pt idx="1">
                  <c:v>4.6977027043857968E-4</c:v>
                </c:pt>
                <c:pt idx="2">
                  <c:v>4.8134675380255072E-4</c:v>
                </c:pt>
                <c:pt idx="3">
                  <c:v>4.9636061146634213E-4</c:v>
                </c:pt>
                <c:pt idx="4">
                  <c:v>5.147546889927799E-4</c:v>
                </c:pt>
                <c:pt idx="5">
                  <c:v>5.3645892540402172E-4</c:v>
                </c:pt>
                <c:pt idx="6">
                  <c:v>5.6150444198432587E-4</c:v>
                </c:pt>
                <c:pt idx="7">
                  <c:v>5.8998585768967092E-4</c:v>
                </c:pt>
                <c:pt idx="8">
                  <c:v>6.2199779147603467E-4</c:v>
                </c:pt>
                <c:pt idx="9">
                  <c:v>6.5763486229939534E-4</c:v>
                </c:pt>
                <c:pt idx="10">
                  <c:v>6.9632284811818818E-4</c:v>
                </c:pt>
                <c:pt idx="11">
                  <c:v>7.3778384972569009E-4</c:v>
                </c:pt>
                <c:pt idx="12">
                  <c:v>7.8255697033014155E-4</c:v>
                </c:pt>
                <c:pt idx="13">
                  <c:v>8.3118131313978381E-4</c:v>
                </c:pt>
                <c:pt idx="14">
                  <c:v>8.8419598136285703E-4</c:v>
                </c:pt>
                <c:pt idx="15">
                  <c:v>9.3812925492148258E-4</c:v>
                </c:pt>
                <c:pt idx="16">
                  <c:v>9.9188031568328778E-4</c:v>
                </c:pt>
                <c:pt idx="17">
                  <c:v>1.049544619774775E-3</c:v>
                </c:pt>
                <c:pt idx="18">
                  <c:v>1.115217623322445E-3</c:v>
                </c:pt>
                <c:pt idx="19">
                  <c:v>1.1929947824528019E-3</c:v>
                </c:pt>
                <c:pt idx="20">
                  <c:v>1.281925866774549E-3</c:v>
                </c:pt>
                <c:pt idx="21">
                  <c:v>1.37799232970006E-3</c:v>
                </c:pt>
                <c:pt idx="22">
                  <c:v>1.4806871530613349E-3</c:v>
                </c:pt>
                <c:pt idx="23">
                  <c:v>1.5895033186903761E-3</c:v>
                </c:pt>
                <c:pt idx="24">
                  <c:v>1.703933808419185E-3</c:v>
                </c:pt>
                <c:pt idx="25">
                  <c:v>1.8239547036057529E-3</c:v>
                </c:pt>
                <c:pt idx="26">
                  <c:v>1.9502174656273381E-3</c:v>
                </c:pt>
                <c:pt idx="27">
                  <c:v>2.0832281463448411E-3</c:v>
                </c:pt>
                <c:pt idx="28">
                  <c:v>2.2234927976191631E-3</c:v>
                </c:pt>
                <c:pt idx="29">
                  <c:v>2.371517471311205E-3</c:v>
                </c:pt>
                <c:pt idx="30">
                  <c:v>2.527225462813594E-3</c:v>
                </c:pt>
                <c:pt idx="31">
                  <c:v>2.6901378414845118E-3</c:v>
                </c:pt>
                <c:pt idx="32">
                  <c:v>2.8601573201331898E-3</c:v>
                </c:pt>
                <c:pt idx="33">
                  <c:v>3.0371866115688618E-3</c:v>
                </c:pt>
                <c:pt idx="34">
                  <c:v>3.2211284286007588E-3</c:v>
                </c:pt>
                <c:pt idx="35">
                  <c:v>3.4120351745065632E-3</c:v>
                </c:pt>
                <c:pt idx="36">
                  <c:v>3.610030957176776E-3</c:v>
                </c:pt>
                <c:pt idx="37">
                  <c:v>3.815126046339868E-3</c:v>
                </c:pt>
                <c:pt idx="38">
                  <c:v>4.0273307117243053E-3</c:v>
                </c:pt>
                <c:pt idx="39">
                  <c:v>4.2466552230585554E-3</c:v>
                </c:pt>
                <c:pt idx="40">
                  <c:v>4.6986387765155183E-3</c:v>
                </c:pt>
                <c:pt idx="41">
                  <c:v>5.1987282208124808E-3</c:v>
                </c:pt>
                <c:pt idx="42">
                  <c:v>5.7520436022781519E-3</c:v>
                </c:pt>
                <c:pt idx="43">
                  <c:v>6.364249908285869E-3</c:v>
                </c:pt>
                <c:pt idx="44">
                  <c:v>7.0416150668737723E-3</c:v>
                </c:pt>
                <c:pt idx="45">
                  <c:v>7.7910741194288907E-3</c:v>
                </c:pt>
                <c:pt idx="46">
                  <c:v>8.6203002234519592E-3</c:v>
                </c:pt>
                <c:pt idx="47">
                  <c:v>9.5377832123477412E-3</c:v>
                </c:pt>
                <c:pt idx="48">
                  <c:v>1.0552916516556569E-2</c:v>
                </c:pt>
                <c:pt idx="49">
                  <c:v>1.167609333594823E-2</c:v>
                </c:pt>
                <c:pt idx="50">
                  <c:v>1.2918813048116465E-2</c:v>
                </c:pt>
                <c:pt idx="51">
                  <c:v>1.4293798942009779E-2</c:v>
                </c:pt>
                <c:pt idx="52">
                  <c:v>1.58151284822864E-2</c:v>
                </c:pt>
                <c:pt idx="53">
                  <c:v>1.7498377438073746E-2</c:v>
                </c:pt>
                <c:pt idx="54">
                  <c:v>1.9360779351760418E-2</c:v>
                </c:pt>
                <c:pt idx="55">
                  <c:v>2.1421401980503591E-2</c:v>
                </c:pt>
                <c:pt idx="56">
                  <c:v>2.3701342516906417E-2</c:v>
                </c:pt>
                <c:pt idx="57">
                  <c:v>2.6223943587585397E-2</c:v>
                </c:pt>
                <c:pt idx="58">
                  <c:v>2.9015032241077515E-2</c:v>
                </c:pt>
                <c:pt idx="59">
                  <c:v>3.2103184371907983E-2</c:v>
                </c:pt>
                <c:pt idx="60">
                  <c:v>3.5520017288060854E-2</c:v>
                </c:pt>
                <c:pt idx="61">
                  <c:v>3.9300513417235124E-2</c:v>
                </c:pt>
                <c:pt idx="62">
                  <c:v>4.3483378466075008E-2</c:v>
                </c:pt>
                <c:pt idx="63">
                  <c:v>4.811143769930265E-2</c:v>
                </c:pt>
                <c:pt idx="64">
                  <c:v>5.3232074395962101E-2</c:v>
                </c:pt>
                <c:pt idx="65">
                  <c:v>5.8897714971804203E-2</c:v>
                </c:pt>
                <c:pt idx="66">
                  <c:v>6.5166365734622311E-2</c:v>
                </c:pt>
                <c:pt idx="67">
                  <c:v>7.2102206767979585E-2</c:v>
                </c:pt>
                <c:pt idx="68">
                  <c:v>7.9776249023665369E-2</c:v>
                </c:pt>
                <c:pt idx="69">
                  <c:v>8.8267061350363815E-2</c:v>
                </c:pt>
                <c:pt idx="70">
                  <c:v>9.7661574902044967E-2</c:v>
                </c:pt>
                <c:pt idx="71">
                  <c:v>0.10805597316182122</c:v>
                </c:pt>
                <c:pt idx="72">
                  <c:v>0.11955667669356564</c:v>
                </c:pt>
                <c:pt idx="73">
                  <c:v>0.13228143270343629</c:v>
                </c:pt>
                <c:pt idx="74">
                  <c:v>0.14636052056652296</c:v>
                </c:pt>
                <c:pt idx="75">
                  <c:v>0.16193808566111123</c:v>
                </c:pt>
                <c:pt idx="76">
                  <c:v>0.17917361516670913</c:v>
                </c:pt>
                <c:pt idx="77">
                  <c:v>0.19824357093544073</c:v>
                </c:pt>
                <c:pt idx="78">
                  <c:v>0.2193431961545711</c:v>
                </c:pt>
                <c:pt idx="79">
                  <c:v>0.24268851429724522</c:v>
                </c:pt>
                <c:pt idx="80">
                  <c:v>0.26851854082722032</c:v>
                </c:pt>
                <c:pt idx="81">
                  <c:v>0.29709773030160264</c:v>
                </c:pt>
                <c:pt idx="82">
                  <c:v>0.32871868392566495</c:v>
                </c:pt>
                <c:pt idx="83">
                  <c:v>0.36370514528039921</c:v>
                </c:pt>
                <c:pt idx="84">
                  <c:v>0.40241531489384352</c:v>
                </c:pt>
                <c:pt idx="85">
                  <c:v>0.4452455175916325</c:v>
                </c:pt>
                <c:pt idx="86">
                  <c:v>0.49263426017406181</c:v>
                </c:pt>
                <c:pt idx="87">
                  <c:v>0.54506672096322539</c:v>
                </c:pt>
                <c:pt idx="88">
                  <c:v>0.60307971718538111</c:v>
                </c:pt>
                <c:pt idx="89">
                  <c:v>0.6672672010459022</c:v>
                </c:pt>
                <c:pt idx="90">
                  <c:v>0.73828634076706678</c:v>
                </c:pt>
                <c:pt idx="91">
                  <c:v>0.81686424884793574</c:v>
                </c:pt>
                <c:pt idx="92">
                  <c:v>0.90380542643200346</c:v>
                </c:pt>
                <c:pt idx="93" formatCode="General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A38-B74E-B26F-B80DAB78F103}"/>
            </c:ext>
          </c:extLst>
        </c:ser>
        <c:ser>
          <c:idx val="1"/>
          <c:order val="3"/>
          <c:tx>
            <c:strRef>
              <c:f>'Mortality Rates'!$K$5</c:f>
              <c:strCache>
                <c:ptCount val="1"/>
                <c:pt idx="0">
                  <c:v>Smoker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'Mortality Rates'!$A$6:$A$104</c:f>
              <c:numCache>
                <c:formatCode>General</c:formatCode>
                <c:ptCount val="99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  <c:pt idx="94">
                  <c:v>120</c:v>
                </c:pt>
                <c:pt idx="95">
                  <c:v>121</c:v>
                </c:pt>
                <c:pt idx="96">
                  <c:v>122</c:v>
                </c:pt>
                <c:pt idx="97">
                  <c:v>123</c:v>
                </c:pt>
                <c:pt idx="98">
                  <c:v>124</c:v>
                </c:pt>
              </c:numCache>
            </c:numRef>
          </c:xVal>
          <c:yVal>
            <c:numRef>
              <c:f>'Mortality Rates'!$K$6:$K$104</c:f>
              <c:numCache>
                <c:formatCode>0.000000</c:formatCode>
                <c:ptCount val="99"/>
                <c:pt idx="0">
                  <c:v>1.84716729428493E-3</c:v>
                </c:pt>
                <c:pt idx="1">
                  <c:v>1.5373179369407085E-3</c:v>
                </c:pt>
                <c:pt idx="2">
                  <c:v>1.2784433237676323E-3</c:v>
                </c:pt>
                <c:pt idx="3">
                  <c:v>1.0654583171614807E-3</c:v>
                </c:pt>
                <c:pt idx="4">
                  <c:v>8.9327777951803274E-4</c:v>
                </c:pt>
                <c:pt idx="5">
                  <c:v>7.5790974254101432E-4</c:v>
                </c:pt>
                <c:pt idx="6">
                  <c:v>6.6346587543041047E-4</c:v>
                </c:pt>
                <c:pt idx="7">
                  <c:v>6.1701649682638555E-4</c:v>
                </c:pt>
                <c:pt idx="8">
                  <c:v>6.2563192536910499E-4</c:v>
                </c:pt>
                <c:pt idx="9">
                  <c:v>6.9638247969873424E-4</c:v>
                </c:pt>
                <c:pt idx="10">
                  <c:v>7.9227117950507854E-4</c:v>
                </c:pt>
                <c:pt idx="11">
                  <c:v>8.9487125001718273E-4</c:v>
                </c:pt>
                <c:pt idx="12">
                  <c:v>1.0391083181840745E-3</c:v>
                </c:pt>
                <c:pt idx="13">
                  <c:v>1.2599080109547795E-3</c:v>
                </c:pt>
                <c:pt idx="14">
                  <c:v>1.5921959552783235E-3</c:v>
                </c:pt>
                <c:pt idx="15">
                  <c:v>1.9586514190365707E-3</c:v>
                </c:pt>
                <c:pt idx="16">
                  <c:v>2.3158757387592944E-3</c:v>
                </c:pt>
                <c:pt idx="17">
                  <c:v>2.7496776443673944E-3</c:v>
                </c:pt>
                <c:pt idx="18">
                  <c:v>3.3458658657817709E-3</c:v>
                </c:pt>
                <c:pt idx="19">
                  <c:v>4.1902491329233217E-3</c:v>
                </c:pt>
                <c:pt idx="20">
                  <c:v>5.2184684234821699E-3</c:v>
                </c:pt>
                <c:pt idx="21">
                  <c:v>6.3410283444721872E-3</c:v>
                </c:pt>
                <c:pt idx="22">
                  <c:v>7.6060330697998949E-3</c:v>
                </c:pt>
                <c:pt idx="23">
                  <c:v>9.061586773371811E-3</c:v>
                </c:pt>
                <c:pt idx="24">
                  <c:v>1.0755793629094462E-2</c:v>
                </c:pt>
                <c:pt idx="25">
                  <c:v>1.2658251318741719E-2</c:v>
                </c:pt>
                <c:pt idx="26">
                  <c:v>1.4723612158807822E-2</c:v>
                </c:pt>
                <c:pt idx="27">
                  <c:v>1.6977562275279846E-2</c:v>
                </c:pt>
                <c:pt idx="28">
                  <c:v>1.9445787794144874E-2</c:v>
                </c:pt>
                <c:pt idx="29">
                  <c:v>2.2153974841389958E-2</c:v>
                </c:pt>
                <c:pt idx="30">
                  <c:v>2.509027911873888E-2</c:v>
                </c:pt>
                <c:pt idx="31">
                  <c:v>2.8228850360255367E-2</c:v>
                </c:pt>
                <c:pt idx="32">
                  <c:v>3.1574365740436511E-2</c:v>
                </c:pt>
                <c:pt idx="33">
                  <c:v>3.5131502433779327E-2</c:v>
                </c:pt>
                <c:pt idx="34">
                  <c:v>3.8904937614780907E-2</c:v>
                </c:pt>
                <c:pt idx="35">
                  <c:v>4.2895555785461628E-2</c:v>
                </c:pt>
                <c:pt idx="36">
                  <c:v>4.7100420910294906E-2</c:v>
                </c:pt>
                <c:pt idx="37">
                  <c:v>5.1518479357457347E-2</c:v>
                </c:pt>
                <c:pt idx="38">
                  <c:v>5.6148677495125587E-2</c:v>
                </c:pt>
                <c:pt idx="39">
                  <c:v>6.0989961691476177E-2</c:v>
                </c:pt>
                <c:pt idx="40">
                  <c:v>6.3891030922900646E-2</c:v>
                </c:pt>
                <c:pt idx="41">
                  <c:v>6.6930093398657547E-2</c:v>
                </c:pt>
                <c:pt idx="42">
                  <c:v>7.0113712952272533E-2</c:v>
                </c:pt>
                <c:pt idx="43">
                  <c:v>7.3448765634805874E-2</c:v>
                </c:pt>
                <c:pt idx="44">
                  <c:v>7.6942454565897961E-2</c:v>
                </c:pt>
                <c:pt idx="45">
                  <c:v>8.0602325491224341E-2</c:v>
                </c:pt>
                <c:pt idx="46">
                  <c:v>8.4436283079961941E-2</c:v>
                </c:pt>
                <c:pt idx="47">
                  <c:v>8.8452607997466487E-2</c:v>
                </c:pt>
                <c:pt idx="48">
                  <c:v>9.2659974790034294E-2</c:v>
                </c:pt>
                <c:pt idx="49">
                  <c:v>9.7067470620376878E-2</c:v>
                </c:pt>
                <c:pt idx="50">
                  <c:v>0.1016846148942735</c:v>
                </c:pt>
                <c:pt idx="51">
                  <c:v>0.10652137982079173</c:v>
                </c:pt>
                <c:pt idx="52">
                  <c:v>0.11158821195048246</c:v>
                </c:pt>
                <c:pt idx="53">
                  <c:v>0.11689605473806794</c:v>
                </c:pt>
                <c:pt idx="54">
                  <c:v>0.12245637217835439</c:v>
                </c:pt>
                <c:pt idx="55">
                  <c:v>0.12828117356641849</c:v>
                </c:pt>
                <c:pt idx="56">
                  <c:v>0.13438303943554511</c:v>
                </c:pt>
                <c:pt idx="57">
                  <c:v>0.14077514872893798</c:v>
                </c:pt>
                <c:pt idx="58">
                  <c:v>0.14747130726388921</c:v>
                </c:pt>
                <c:pt idx="59">
                  <c:v>0.15448597754988483</c:v>
                </c:pt>
                <c:pt idx="60">
                  <c:v>0.16183431002504911</c:v>
                </c:pt>
                <c:pt idx="61">
                  <c:v>0.16953217577839153</c:v>
                </c:pt>
                <c:pt idx="62">
                  <c:v>0.17759620082853139</c:v>
                </c:pt>
                <c:pt idx="63">
                  <c:v>0.18604380203293649</c:v>
                </c:pt>
                <c:pt idx="64">
                  <c:v>0.19489322470523185</c:v>
                </c:pt>
                <c:pt idx="65">
                  <c:v>0.20416358202182711</c:v>
                </c:pt>
                <c:pt idx="66">
                  <c:v>0.21387489630297224</c:v>
                </c:pt>
                <c:pt idx="67">
                  <c:v>0.22404814225740227</c:v>
                </c:pt>
                <c:pt idx="68">
                  <c:v>0.2347052922839713</c:v>
                </c:pt>
                <c:pt idx="69">
                  <c:v>0.24586936392811987</c:v>
                </c:pt>
                <c:pt idx="70">
                  <c:v>0.25756446959567203</c:v>
                </c:pt>
                <c:pt idx="71">
                  <c:v>0.2698158686313365</c:v>
                </c:pt>
                <c:pt idx="72">
                  <c:v>0.28265002187439114</c:v>
                </c:pt>
                <c:pt idx="73">
                  <c:v>0.29609464880938152</c:v>
                </c:pt>
                <c:pt idx="74">
                  <c:v>0.31017878743526911</c:v>
                </c:pt>
                <c:pt idx="75">
                  <c:v>0.32493285698233643</c:v>
                </c:pt>
                <c:pt idx="76">
                  <c:v>0.34038872361230421</c:v>
                </c:pt>
                <c:pt idx="77">
                  <c:v>0.35657976924356438</c:v>
                </c:pt>
                <c:pt idx="78">
                  <c:v>0.37354096365017631</c:v>
                </c:pt>
                <c:pt idx="79">
                  <c:v>0.39130893999034871</c:v>
                </c:pt>
                <c:pt idx="80">
                  <c:v>0.40992207392753521</c:v>
                </c:pt>
                <c:pt idx="81">
                  <c:v>0.42942056651503069</c:v>
                </c:pt>
                <c:pt idx="82">
                  <c:v>0.44984653102308392</c:v>
                </c:pt>
                <c:pt idx="83">
                  <c:v>0.47124408389605921</c:v>
                </c:pt>
                <c:pt idx="84">
                  <c:v>0.49365944003609641</c:v>
                </c:pt>
                <c:pt idx="85">
                  <c:v>0.51714101261906631</c:v>
                </c:pt>
                <c:pt idx="86">
                  <c:v>0.54173951765840522</c:v>
                </c:pt>
                <c:pt idx="87">
                  <c:v>0.56750808354266902</c:v>
                </c:pt>
                <c:pt idx="88">
                  <c:v>0.59450236578338733</c:v>
                </c:pt>
                <c:pt idx="89">
                  <c:v>0.62278066722105274</c:v>
                </c:pt>
                <c:pt idx="90">
                  <c:v>0.65240406394887041</c:v>
                </c:pt>
                <c:pt idx="91">
                  <c:v>0.68343653722623698</c:v>
                </c:pt>
                <c:pt idx="92">
                  <c:v>0.71594511166686359</c:v>
                </c:pt>
                <c:pt idx="93">
                  <c:v>0.76328759305571969</c:v>
                </c:pt>
                <c:pt idx="94">
                  <c:v>0.81063007444457569</c:v>
                </c:pt>
                <c:pt idx="95">
                  <c:v>0.85797255583343179</c:v>
                </c:pt>
                <c:pt idx="96">
                  <c:v>0.9053150372222879</c:v>
                </c:pt>
                <c:pt idx="97">
                  <c:v>0.95265751861114401</c:v>
                </c:pt>
                <c:pt idx="98" formatCode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AE-4A98-AB2E-F18B236D955F}"/>
            </c:ext>
          </c:extLst>
        </c:ser>
        <c:ser>
          <c:idx val="4"/>
          <c:order val="4"/>
          <c:tx>
            <c:strRef>
              <c:f>'Mortality Rates'!$L$5</c:f>
              <c:strCache>
                <c:ptCount val="1"/>
                <c:pt idx="0">
                  <c:v>Male non-smoker</c:v>
                </c:pt>
              </c:strCache>
            </c:strRef>
          </c:tx>
          <c:spPr>
            <a:ln w="19050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'Mortality Rates'!$A$6:$A$104</c:f>
              <c:numCache>
                <c:formatCode>General</c:formatCode>
                <c:ptCount val="99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  <c:pt idx="94">
                  <c:v>120</c:v>
                </c:pt>
                <c:pt idx="95">
                  <c:v>121</c:v>
                </c:pt>
                <c:pt idx="96">
                  <c:v>122</c:v>
                </c:pt>
                <c:pt idx="97">
                  <c:v>123</c:v>
                </c:pt>
                <c:pt idx="98">
                  <c:v>124</c:v>
                </c:pt>
              </c:numCache>
            </c:numRef>
          </c:xVal>
          <c:yVal>
            <c:numRef>
              <c:f>'Mortality Rates'!$L$6:$L$104</c:f>
              <c:numCache>
                <c:formatCode>0.000000</c:formatCode>
                <c:ptCount val="99"/>
                <c:pt idx="0">
                  <c:v>7.3478062121806894E-4</c:v>
                </c:pt>
                <c:pt idx="1">
                  <c:v>7.4607435650646953E-4</c:v>
                </c:pt>
                <c:pt idx="2">
                  <c:v>7.6066451787811277E-4</c:v>
                </c:pt>
                <c:pt idx="3">
                  <c:v>7.7845801481102696E-4</c:v>
                </c:pt>
                <c:pt idx="4">
                  <c:v>7.993617567832403E-4</c:v>
                </c:pt>
                <c:pt idx="5">
                  <c:v>8.2329214983824033E-4</c:v>
                </c:pt>
                <c:pt idx="6">
                  <c:v>8.5032968707177419E-4</c:v>
                </c:pt>
                <c:pt idx="7">
                  <c:v>8.8062740854026513E-4</c:v>
                </c:pt>
                <c:pt idx="8">
                  <c:v>9.1433835430013545E-4</c:v>
                </c:pt>
                <c:pt idx="9">
                  <c:v>9.5161556440780722E-4</c:v>
                </c:pt>
                <c:pt idx="10">
                  <c:v>9.9122351081984547E-4</c:v>
                </c:pt>
                <c:pt idx="11">
                  <c:v>1.0325678436621038E-3</c:v>
                </c:pt>
                <c:pt idx="12">
                  <c:v>1.0767633702449364E-3</c:v>
                </c:pt>
                <c:pt idx="13">
                  <c:v>1.1249248978786972E-3</c:v>
                </c:pt>
                <c:pt idx="14">
                  <c:v>1.178167233873741E-3</c:v>
                </c:pt>
                <c:pt idx="15">
                  <c:v>1.233606070292484E-3</c:v>
                </c:pt>
                <c:pt idx="16">
                  <c:v>1.2898886795183985E-3</c:v>
                </c:pt>
                <c:pt idx="17">
                  <c:v>1.350427239343422E-3</c:v>
                </c:pt>
                <c:pt idx="18">
                  <c:v>1.4186339275594889E-3</c:v>
                </c:pt>
                <c:pt idx="19">
                  <c:v>1.4979209219585362E-3</c:v>
                </c:pt>
                <c:pt idx="20">
                  <c:v>1.5867418046471649E-3</c:v>
                </c:pt>
                <c:pt idx="21">
                  <c:v>1.6816102325200193E-3</c:v>
                </c:pt>
                <c:pt idx="22">
                  <c:v>1.783028495551107E-3</c:v>
                </c:pt>
                <c:pt idx="23">
                  <c:v>1.8914988837144338E-3</c:v>
                </c:pt>
                <c:pt idx="24">
                  <c:v>2.0075236869840068E-3</c:v>
                </c:pt>
                <c:pt idx="25">
                  <c:v>2.1303600022272639E-3</c:v>
                </c:pt>
                <c:pt idx="26">
                  <c:v>2.2596273488330746E-3</c:v>
                </c:pt>
                <c:pt idx="27">
                  <c:v>2.3963716505575943E-3</c:v>
                </c:pt>
                <c:pt idx="28">
                  <c:v>2.5416388311569789E-3</c:v>
                </c:pt>
                <c:pt idx="29">
                  <c:v>2.6964748143873834E-3</c:v>
                </c:pt>
                <c:pt idx="30">
                  <c:v>2.8604588468581727E-3</c:v>
                </c:pt>
                <c:pt idx="31">
                  <c:v>3.0325304299317225E-3</c:v>
                </c:pt>
                <c:pt idx="32">
                  <c:v>3.2127758694937055E-3</c:v>
                </c:pt>
                <c:pt idx="33">
                  <c:v>3.4012814714297953E-3</c:v>
                </c:pt>
                <c:pt idx="34">
                  <c:v>3.598133541625663E-3</c:v>
                </c:pt>
                <c:pt idx="35">
                  <c:v>3.8033933344510324E-3</c:v>
                </c:pt>
                <c:pt idx="36">
                  <c:v>4.0170524112748407E-3</c:v>
                </c:pt>
                <c:pt idx="37">
                  <c:v>4.2390925384815908E-3</c:v>
                </c:pt>
                <c:pt idx="38">
                  <c:v>4.4694954824557771E-3</c:v>
                </c:pt>
                <c:pt idx="39">
                  <c:v>4.7082430095819012E-3</c:v>
                </c:pt>
                <c:pt idx="40">
                  <c:v>5.1717842123099635E-3</c:v>
                </c:pt>
                <c:pt idx="41">
                  <c:v>5.6809624915842554E-3</c:v>
                </c:pt>
                <c:pt idx="42">
                  <c:v>6.240270959869074E-3</c:v>
                </c:pt>
                <c:pt idx="43">
                  <c:v>6.8546450905585497E-3</c:v>
                </c:pt>
                <c:pt idx="44">
                  <c:v>7.5295062697893315E-3</c:v>
                </c:pt>
                <c:pt idx="45">
                  <c:v>8.2708096360649269E-3</c:v>
                </c:pt>
                <c:pt idx="46">
                  <c:v>9.0850966298402988E-3</c:v>
                </c:pt>
                <c:pt idx="47">
                  <c:v>9.9795527167768107E-3</c:v>
                </c:pt>
                <c:pt idx="48">
                  <c:v>1.0962070794031616E-2</c:v>
                </c:pt>
                <c:pt idx="49">
                  <c:v>1.2041320839093919E-2</c:v>
                </c:pt>
                <c:pt idx="50">
                  <c:v>1.3226826415766287E-2</c:v>
                </c:pt>
                <c:pt idx="51">
                  <c:v>1.4529048712398339E-2</c:v>
                </c:pt>
                <c:pt idx="52">
                  <c:v>1.5959478853946572E-2</c:v>
                </c:pt>
                <c:pt idx="53">
                  <c:v>1.7530739302444184E-2</c:v>
                </c:pt>
                <c:pt idx="54">
                  <c:v>1.925669524066341E-2</c:v>
                </c:pt>
                <c:pt idx="55">
                  <c:v>2.1152576921846536E-2</c:v>
                </c:pt>
                <c:pt idx="56">
                  <c:v>2.3235114065149429E-2</c:v>
                </c:pt>
                <c:pt idx="57">
                  <c:v>2.5522683482735498E-2</c:v>
                </c:pt>
                <c:pt idx="58">
                  <c:v>2.8035471241217285E-2</c:v>
                </c:pt>
                <c:pt idx="59">
                  <c:v>3.0795650788397411E-2</c:v>
                </c:pt>
                <c:pt idx="60">
                  <c:v>3.3827578617142751E-2</c:v>
                </c:pt>
                <c:pt idx="61">
                  <c:v>3.7158009192976765E-2</c:v>
                </c:pt>
                <c:pt idx="62">
                  <c:v>4.0816331041963534E-2</c:v>
                </c:pt>
                <c:pt idx="63">
                  <c:v>4.4834826082179952E-2</c:v>
                </c:pt>
                <c:pt idx="64">
                  <c:v>4.924895448717969E-2</c:v>
                </c:pt>
                <c:pt idx="65">
                  <c:v>5.4097667595153713E-2</c:v>
                </c:pt>
                <c:pt idx="66">
                  <c:v>5.9423751624972536E-2</c:v>
                </c:pt>
                <c:pt idx="67">
                  <c:v>6.5274205232145055E-2</c:v>
                </c:pt>
                <c:pt idx="68">
                  <c:v>7.1700654236338132E-2</c:v>
                </c:pt>
                <c:pt idx="69">
                  <c:v>7.8759807180113731E-2</c:v>
                </c:pt>
                <c:pt idx="70">
                  <c:v>8.6513955738843712E-2</c:v>
                </c:pt>
                <c:pt idx="71">
                  <c:v>9.5031524397541048E-2</c:v>
                </c:pt>
                <c:pt idx="72">
                  <c:v>0.10438767424508871</c:v>
                </c:pt>
                <c:pt idx="73">
                  <c:v>0.11466496621389263</c:v>
                </c:pt>
                <c:pt idx="74">
                  <c:v>0.12595408961754637</c:v>
                </c:pt>
                <c:pt idx="75">
                  <c:v>0.13835466241529998</c:v>
                </c:pt>
                <c:pt idx="76">
                  <c:v>0.15197611026506125</c:v>
                </c:pt>
                <c:pt idx="77">
                  <c:v>0.16693863212190452</c:v>
                </c:pt>
                <c:pt idx="78">
                  <c:v>0.18337426090276399</c:v>
                </c:pt>
                <c:pt idx="79">
                  <c:v>0.20142802857687231</c:v>
                </c:pt>
                <c:pt idx="80">
                  <c:v>0.22125924596298518</c:v>
                </c:pt>
                <c:pt idx="81">
                  <c:v>0.24304290852663302</c:v>
                </c:pt>
                <c:pt idx="82">
                  <c:v>0.26697124058249377</c:v>
                </c:pt>
                <c:pt idx="83">
                  <c:v>0.29325539152830504</c:v>
                </c:pt>
                <c:pt idx="84">
                  <c:v>0.32212729907829141</c:v>
                </c:pt>
                <c:pt idx="85">
                  <c:v>0.35384173593773305</c:v>
                </c:pt>
                <c:pt idx="86">
                  <c:v>0.3886785579790249</c:v>
                </c:pt>
                <c:pt idx="87">
                  <c:v>0.42694517375767904</c:v>
                </c:pt>
                <c:pt idx="88">
                  <c:v>0.46897925715987565</c:v>
                </c:pt>
                <c:pt idx="89">
                  <c:v>0.51515172711862256</c:v>
                </c:pt>
                <c:pt idx="90">
                  <c:v>0.56587002069226044</c:v>
                </c:pt>
                <c:pt idx="91">
                  <c:v>0.62158168838775074</c:v>
                </c:pt>
                <c:pt idx="92">
                  <c:v>0.68277834345475041</c:v>
                </c:pt>
                <c:pt idx="93">
                  <c:v>0.73564861954562533</c:v>
                </c:pt>
                <c:pt idx="94">
                  <c:v>0.78851889563650024</c:v>
                </c:pt>
                <c:pt idx="95">
                  <c:v>0.84138917172737526</c:v>
                </c:pt>
                <c:pt idx="96">
                  <c:v>0.89425944781825006</c:v>
                </c:pt>
                <c:pt idx="97">
                  <c:v>0.94712972390912509</c:v>
                </c:pt>
                <c:pt idx="98" formatCode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AE-4A98-AB2E-F18B236D955F}"/>
            </c:ext>
          </c:extLst>
        </c:ser>
        <c:ser>
          <c:idx val="5"/>
          <c:order val="5"/>
          <c:tx>
            <c:strRef>
              <c:f>'Mortality Rates'!$M$5</c:f>
              <c:strCache>
                <c:ptCount val="1"/>
                <c:pt idx="0">
                  <c:v>Female non-smoker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'Mortality Rates'!$A$6:$A$104</c:f>
              <c:numCache>
                <c:formatCode>General</c:formatCode>
                <c:ptCount val="99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  <c:pt idx="94">
                  <c:v>120</c:v>
                </c:pt>
                <c:pt idx="95">
                  <c:v>121</c:v>
                </c:pt>
                <c:pt idx="96">
                  <c:v>122</c:v>
                </c:pt>
                <c:pt idx="97">
                  <c:v>123</c:v>
                </c:pt>
                <c:pt idx="98">
                  <c:v>124</c:v>
                </c:pt>
              </c:numCache>
            </c:numRef>
          </c:xVal>
          <c:yVal>
            <c:numRef>
              <c:f>'Mortality Rates'!$M$6:$M$104</c:f>
              <c:numCache>
                <c:formatCode>0.000000</c:formatCode>
                <c:ptCount val="99"/>
                <c:pt idx="0">
                  <c:v>3.4626623685870194E-4</c:v>
                </c:pt>
                <c:pt idx="1">
                  <c:v>3.5232770282893474E-4</c:v>
                </c:pt>
                <c:pt idx="2">
                  <c:v>3.6101006535191305E-4</c:v>
                </c:pt>
                <c:pt idx="3">
                  <c:v>3.722704585997566E-4</c:v>
                </c:pt>
                <c:pt idx="4">
                  <c:v>3.860660167445849E-4</c:v>
                </c:pt>
                <c:pt idx="5">
                  <c:v>4.0234419405301629E-4</c:v>
                </c:pt>
                <c:pt idx="6">
                  <c:v>4.211283314882444E-4</c:v>
                </c:pt>
                <c:pt idx="7">
                  <c:v>4.4248939326725319E-4</c:v>
                </c:pt>
                <c:pt idx="8">
                  <c:v>4.66498343607026E-4</c:v>
                </c:pt>
                <c:pt idx="9">
                  <c:v>4.932261467245465E-4</c:v>
                </c:pt>
                <c:pt idx="10">
                  <c:v>5.2224213608864113E-4</c:v>
                </c:pt>
                <c:pt idx="11">
                  <c:v>5.5333788729426756E-4</c:v>
                </c:pt>
                <c:pt idx="12">
                  <c:v>5.8691772774760616E-4</c:v>
                </c:pt>
                <c:pt idx="13">
                  <c:v>6.2338598485483783E-4</c:v>
                </c:pt>
                <c:pt idx="14">
                  <c:v>6.6314698602214272E-4</c:v>
                </c:pt>
                <c:pt idx="15">
                  <c:v>7.0359694119111194E-4</c:v>
                </c:pt>
                <c:pt idx="16">
                  <c:v>7.4391023676246583E-4</c:v>
                </c:pt>
                <c:pt idx="17">
                  <c:v>7.8715846483108122E-4</c:v>
                </c:pt>
                <c:pt idx="18">
                  <c:v>8.3641321749183383E-4</c:v>
                </c:pt>
                <c:pt idx="19">
                  <c:v>8.9474608683960146E-4</c:v>
                </c:pt>
                <c:pt idx="20">
                  <c:v>9.6144440008091175E-4</c:v>
                </c:pt>
                <c:pt idx="21">
                  <c:v>1.0334942472750449E-3</c:v>
                </c:pt>
                <c:pt idx="22">
                  <c:v>1.1105153647960012E-3</c:v>
                </c:pt>
                <c:pt idx="23">
                  <c:v>1.1921274890177821E-3</c:v>
                </c:pt>
                <c:pt idx="24">
                  <c:v>1.2779503563143887E-3</c:v>
                </c:pt>
                <c:pt idx="25">
                  <c:v>1.3679660277043147E-3</c:v>
                </c:pt>
                <c:pt idx="26">
                  <c:v>1.4626630992205037E-3</c:v>
                </c:pt>
                <c:pt idx="27">
                  <c:v>1.5624211097586308E-3</c:v>
                </c:pt>
                <c:pt idx="28">
                  <c:v>1.6676195982143723E-3</c:v>
                </c:pt>
                <c:pt idx="29">
                  <c:v>1.7786381034834036E-3</c:v>
                </c:pt>
                <c:pt idx="30">
                  <c:v>1.8954190971101955E-3</c:v>
                </c:pt>
                <c:pt idx="31">
                  <c:v>2.0176033811133837E-3</c:v>
                </c:pt>
                <c:pt idx="32">
                  <c:v>2.1451179900998925E-3</c:v>
                </c:pt>
                <c:pt idx="33">
                  <c:v>2.2778899586766463E-3</c:v>
                </c:pt>
                <c:pt idx="34">
                  <c:v>2.415846321450569E-3</c:v>
                </c:pt>
                <c:pt idx="35">
                  <c:v>2.5590263808799225E-3</c:v>
                </c:pt>
                <c:pt idx="36">
                  <c:v>2.7075232178825821E-3</c:v>
                </c:pt>
                <c:pt idx="37">
                  <c:v>2.861344534754901E-3</c:v>
                </c:pt>
                <c:pt idx="38">
                  <c:v>3.020498033793229E-3</c:v>
                </c:pt>
                <c:pt idx="39">
                  <c:v>3.1849914172939163E-3</c:v>
                </c:pt>
                <c:pt idx="40">
                  <c:v>3.5239790823866387E-3</c:v>
                </c:pt>
                <c:pt idx="41">
                  <c:v>3.8990461656093606E-3</c:v>
                </c:pt>
                <c:pt idx="42">
                  <c:v>4.3140327017086137E-3</c:v>
                </c:pt>
                <c:pt idx="43">
                  <c:v>4.7731874312144018E-3</c:v>
                </c:pt>
                <c:pt idx="44">
                  <c:v>5.2812113001553295E-3</c:v>
                </c:pt>
                <c:pt idx="45">
                  <c:v>5.8433055895716676E-3</c:v>
                </c:pt>
                <c:pt idx="46">
                  <c:v>6.4652251675889694E-3</c:v>
                </c:pt>
                <c:pt idx="47">
                  <c:v>7.1533374092608059E-3</c:v>
                </c:pt>
                <c:pt idx="48">
                  <c:v>7.9146873874174264E-3</c:v>
                </c:pt>
                <c:pt idx="49">
                  <c:v>8.757070001961173E-3</c:v>
                </c:pt>
                <c:pt idx="50">
                  <c:v>9.6891097860873493E-3</c:v>
                </c:pt>
                <c:pt idx="51">
                  <c:v>1.0720349206507334E-2</c:v>
                </c:pt>
                <c:pt idx="52">
                  <c:v>1.1861346361714799E-2</c:v>
                </c:pt>
                <c:pt idx="53">
                  <c:v>1.312378307855531E-2</c:v>
                </c:pt>
                <c:pt idx="54">
                  <c:v>1.4520584513820312E-2</c:v>
                </c:pt>
                <c:pt idx="55">
                  <c:v>1.6066051485377694E-2</c:v>
                </c:pt>
                <c:pt idx="56">
                  <c:v>1.7776006887679812E-2</c:v>
                </c:pt>
                <c:pt idx="57">
                  <c:v>1.9667957690689047E-2</c:v>
                </c:pt>
                <c:pt idx="58">
                  <c:v>2.1761274180808136E-2</c:v>
                </c:pt>
                <c:pt idx="59">
                  <c:v>2.4077388278930988E-2</c:v>
                </c:pt>
                <c:pt idx="60">
                  <c:v>2.664001296604564E-2</c:v>
                </c:pt>
                <c:pt idx="61">
                  <c:v>2.9475385062926344E-2</c:v>
                </c:pt>
                <c:pt idx="62">
                  <c:v>3.2612533849556258E-2</c:v>
                </c:pt>
                <c:pt idx="63">
                  <c:v>3.6083578274476988E-2</c:v>
                </c:pt>
                <c:pt idx="64">
                  <c:v>3.9924055796971572E-2</c:v>
                </c:pt>
                <c:pt idx="65">
                  <c:v>4.4173286228853151E-2</c:v>
                </c:pt>
                <c:pt idx="66">
                  <c:v>4.8874774300966733E-2</c:v>
                </c:pt>
                <c:pt idx="67">
                  <c:v>5.4076655075984692E-2</c:v>
                </c:pt>
                <c:pt idx="68">
                  <c:v>5.9832186767749027E-2</c:v>
                </c:pt>
                <c:pt idx="69">
                  <c:v>6.6200296012772858E-2</c:v>
                </c:pt>
                <c:pt idx="70">
                  <c:v>7.3246181176533726E-2</c:v>
                </c:pt>
                <c:pt idx="71">
                  <c:v>8.104197987136591E-2</c:v>
                </c:pt>
                <c:pt idx="72">
                  <c:v>8.9667507520174231E-2</c:v>
                </c:pt>
                <c:pt idx="73">
                  <c:v>9.9211074527577214E-2</c:v>
                </c:pt>
                <c:pt idx="74">
                  <c:v>0.10977039042489223</c:v>
                </c:pt>
                <c:pt idx="75">
                  <c:v>0.12145356424583342</c:v>
                </c:pt>
                <c:pt idx="76">
                  <c:v>0.13438021137503184</c:v>
                </c:pt>
                <c:pt idx="77">
                  <c:v>0.14868267820158054</c:v>
                </c:pt>
                <c:pt idx="78">
                  <c:v>0.16450739711592832</c:v>
                </c:pt>
                <c:pt idx="79">
                  <c:v>0.18201638572293391</c:v>
                </c:pt>
                <c:pt idx="80">
                  <c:v>0.20138890562041523</c:v>
                </c:pt>
                <c:pt idx="81">
                  <c:v>0.22282329772620196</c:v>
                </c:pt>
                <c:pt idx="82">
                  <c:v>0.24653901294424871</c:v>
                </c:pt>
                <c:pt idx="83">
                  <c:v>0.27277885896029941</c:v>
                </c:pt>
                <c:pt idx="84">
                  <c:v>0.30181148617038267</c:v>
                </c:pt>
                <c:pt idx="85">
                  <c:v>0.33393413819372436</c:v>
                </c:pt>
                <c:pt idx="86">
                  <c:v>0.36947569513054634</c:v>
                </c:pt>
                <c:pt idx="87">
                  <c:v>0.40880004072241904</c:v>
                </c:pt>
                <c:pt idx="88">
                  <c:v>0.45230978788903586</c:v>
                </c:pt>
                <c:pt idx="89">
                  <c:v>0.5004504007844266</c:v>
                </c:pt>
                <c:pt idx="90">
                  <c:v>0.55371475557530014</c:v>
                </c:pt>
                <c:pt idx="91">
                  <c:v>0.61264818663595177</c:v>
                </c:pt>
                <c:pt idx="92">
                  <c:v>0.67785406982400254</c:v>
                </c:pt>
                <c:pt idx="93">
                  <c:v>0.73154505818666882</c:v>
                </c:pt>
                <c:pt idx="94">
                  <c:v>0.78523604654933499</c:v>
                </c:pt>
                <c:pt idx="95">
                  <c:v>0.83892703491200127</c:v>
                </c:pt>
                <c:pt idx="96">
                  <c:v>0.89261802327466755</c:v>
                </c:pt>
                <c:pt idx="97">
                  <c:v>0.94630901163733372</c:v>
                </c:pt>
                <c:pt idx="98" formatCode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AE-4A98-AB2E-F18B236D9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499440"/>
        <c:axId val="158038575"/>
      </c:scatterChart>
      <c:valAx>
        <c:axId val="2146499440"/>
        <c:scaling>
          <c:orientation val="minMax"/>
          <c:max val="125"/>
          <c:min val="2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  <a:alpha val="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38575"/>
        <c:crosses val="autoZero"/>
        <c:crossBetween val="midCat"/>
      </c:valAx>
      <c:valAx>
        <c:axId val="1580385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 of death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49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 Mortality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'Mortality Rates'!$F$5</c:f>
              <c:strCache>
                <c:ptCount val="1"/>
                <c:pt idx="0">
                  <c:v>Smoker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Rates'!$F$6:$F$99</c:f>
              <c:numCache>
                <c:formatCode>0.00000</c:formatCode>
                <c:ptCount val="94"/>
                <c:pt idx="0">
                  <c:v>-6.0064199331914638</c:v>
                </c:pt>
                <c:pt idx="1">
                  <c:v>-6.1900339078413431</c:v>
                </c:pt>
                <c:pt idx="2">
                  <c:v>-6.374430022019923</c:v>
                </c:pt>
                <c:pt idx="3">
                  <c:v>-6.5566681551881487</c:v>
                </c:pt>
                <c:pt idx="4">
                  <c:v>-6.7329308897160782</c:v>
                </c:pt>
                <c:pt idx="5">
                  <c:v>-6.8972641801247825</c:v>
                </c:pt>
                <c:pt idx="6">
                  <c:v>-7.0303510642152158</c:v>
                </c:pt>
                <c:pt idx="7">
                  <c:v>-7.1029327248067</c:v>
                </c:pt>
                <c:pt idx="8">
                  <c:v>-7.0890662659832282</c:v>
                </c:pt>
                <c:pt idx="9">
                  <c:v>-6.9819294363227398</c:v>
                </c:pt>
                <c:pt idx="10">
                  <c:v>-6.8529247539380123</c:v>
                </c:pt>
                <c:pt idx="11">
                  <c:v>-6.7311486323151266</c:v>
                </c:pt>
                <c:pt idx="12">
                  <c:v>-6.5817102475044544</c:v>
                </c:pt>
                <c:pt idx="13">
                  <c:v>-6.3890344954108693</c:v>
                </c:pt>
                <c:pt idx="14">
                  <c:v>-6.1549590391964237</c:v>
                </c:pt>
                <c:pt idx="15">
                  <c:v>-5.9478170216159594</c:v>
                </c:pt>
                <c:pt idx="16">
                  <c:v>-5.7802853016444535</c:v>
                </c:pt>
                <c:pt idx="17">
                  <c:v>-5.6085895219527426</c:v>
                </c:pt>
                <c:pt idx="18">
                  <c:v>-5.412347692700596</c:v>
                </c:pt>
                <c:pt idx="19">
                  <c:v>-5.1873130154323412</c:v>
                </c:pt>
                <c:pt idx="20">
                  <c:v>-4.9678692531507984</c:v>
                </c:pt>
                <c:pt idx="21">
                  <c:v>-4.7730322517905668</c:v>
                </c:pt>
                <c:pt idx="22">
                  <c:v>-4.5911314491767987</c:v>
                </c:pt>
                <c:pt idx="23">
                  <c:v>-4.4160289612620183</c:v>
                </c:pt>
                <c:pt idx="24">
                  <c:v>-4.2446286548925496</c:v>
                </c:pt>
                <c:pt idx="25">
                  <c:v>-4.0817639258363636</c:v>
                </c:pt>
                <c:pt idx="26">
                  <c:v>-3.9306207321097699</c:v>
                </c:pt>
                <c:pt idx="27">
                  <c:v>-3.7881806004246714</c:v>
                </c:pt>
                <c:pt idx="28">
                  <c:v>-3.6524427257734056</c:v>
                </c:pt>
                <c:pt idx="29">
                  <c:v>-3.522056275060077</c:v>
                </c:pt>
                <c:pt idx="30">
                  <c:v>-3.3975927215132713</c:v>
                </c:pt>
                <c:pt idx="31">
                  <c:v>-3.2797286891375852</c:v>
                </c:pt>
                <c:pt idx="32">
                  <c:v>-3.1677276258926574</c:v>
                </c:pt>
                <c:pt idx="33">
                  <c:v>-3.060974973339659</c:v>
                </c:pt>
                <c:pt idx="34">
                  <c:v>-2.958952032989778</c:v>
                </c:pt>
                <c:pt idx="35">
                  <c:v>-2.8613049807071751</c:v>
                </c:pt>
                <c:pt idx="36">
                  <c:v>-2.7677912690236064</c:v>
                </c:pt>
                <c:pt idx="37">
                  <c:v>-2.6781326407471542</c:v>
                </c:pt>
                <c:pt idx="38">
                  <c:v>-2.5920700786931734</c:v>
                </c:pt>
                <c:pt idx="39">
                  <c:v>-2.5093639183337446</c:v>
                </c:pt>
                <c:pt idx="40">
                  <c:v>-2.462894216142379</c:v>
                </c:pt>
                <c:pt idx="41">
                  <c:v>-2.4164245139510134</c:v>
                </c:pt>
                <c:pt idx="42">
                  <c:v>-2.3699548117596474</c:v>
                </c:pt>
                <c:pt idx="43">
                  <c:v>-2.3234851095682822</c:v>
                </c:pt>
                <c:pt idx="44">
                  <c:v>-2.2770154073769167</c:v>
                </c:pt>
                <c:pt idx="45">
                  <c:v>-2.2305457051855506</c:v>
                </c:pt>
                <c:pt idx="46">
                  <c:v>-2.184076002994185</c:v>
                </c:pt>
                <c:pt idx="47">
                  <c:v>-2.1376063008028194</c:v>
                </c:pt>
                <c:pt idx="48">
                  <c:v>-2.0911365986114538</c:v>
                </c:pt>
                <c:pt idx="49">
                  <c:v>-2.0446668964200883</c:v>
                </c:pt>
                <c:pt idx="50">
                  <c:v>-1.9981971942287227</c:v>
                </c:pt>
                <c:pt idx="51">
                  <c:v>-1.9517274920373568</c:v>
                </c:pt>
                <c:pt idx="52">
                  <c:v>-1.9052577898459913</c:v>
                </c:pt>
                <c:pt idx="53">
                  <c:v>-1.8587880876546254</c:v>
                </c:pt>
                <c:pt idx="54">
                  <c:v>-1.8123183854632601</c:v>
                </c:pt>
                <c:pt idx="55">
                  <c:v>-1.7658486832718945</c:v>
                </c:pt>
                <c:pt idx="56">
                  <c:v>-1.7193789810805287</c:v>
                </c:pt>
                <c:pt idx="57">
                  <c:v>-1.6729092788891631</c:v>
                </c:pt>
                <c:pt idx="58">
                  <c:v>-1.6264395766977973</c:v>
                </c:pt>
                <c:pt idx="59">
                  <c:v>-1.5799698745064319</c:v>
                </c:pt>
                <c:pt idx="60">
                  <c:v>-1.5335001723150663</c:v>
                </c:pt>
                <c:pt idx="61">
                  <c:v>-1.4870304701237005</c:v>
                </c:pt>
                <c:pt idx="62">
                  <c:v>-1.4405607679323349</c:v>
                </c:pt>
                <c:pt idx="63">
                  <c:v>-1.3940910657409691</c:v>
                </c:pt>
                <c:pt idx="64">
                  <c:v>-1.3476213635496037</c:v>
                </c:pt>
                <c:pt idx="65">
                  <c:v>-1.3011516613582381</c:v>
                </c:pt>
                <c:pt idx="66">
                  <c:v>-1.2546819591668723</c:v>
                </c:pt>
                <c:pt idx="67">
                  <c:v>-1.2082122569755067</c:v>
                </c:pt>
                <c:pt idx="68">
                  <c:v>-1.1617425547841411</c:v>
                </c:pt>
                <c:pt idx="69">
                  <c:v>-1.1152728525927753</c:v>
                </c:pt>
                <c:pt idx="70">
                  <c:v>-1.0688031504014097</c:v>
                </c:pt>
                <c:pt idx="71">
                  <c:v>-1.0223334482100441</c:v>
                </c:pt>
                <c:pt idx="72">
                  <c:v>-0.97586374601867842</c:v>
                </c:pt>
                <c:pt idx="73">
                  <c:v>-0.92939404382731272</c:v>
                </c:pt>
                <c:pt idx="74">
                  <c:v>-0.88292434163594724</c:v>
                </c:pt>
                <c:pt idx="75">
                  <c:v>-0.83645463944458154</c:v>
                </c:pt>
                <c:pt idx="76">
                  <c:v>-0.78998493725321595</c:v>
                </c:pt>
                <c:pt idx="77">
                  <c:v>-0.74351523506185024</c:v>
                </c:pt>
                <c:pt idx="78">
                  <c:v>-0.69704553287048454</c:v>
                </c:pt>
                <c:pt idx="79">
                  <c:v>-0.65057583067911906</c:v>
                </c:pt>
                <c:pt idx="80">
                  <c:v>-0.60410612848775336</c:v>
                </c:pt>
                <c:pt idx="81">
                  <c:v>-0.55763642629638766</c:v>
                </c:pt>
                <c:pt idx="82">
                  <c:v>-0.51116672410502206</c:v>
                </c:pt>
                <c:pt idx="83">
                  <c:v>-0.46469702191365636</c:v>
                </c:pt>
                <c:pt idx="84">
                  <c:v>-0.41822731972229077</c:v>
                </c:pt>
                <c:pt idx="85">
                  <c:v>-0.37175761753092512</c:v>
                </c:pt>
                <c:pt idx="86">
                  <c:v>-0.32528791533955953</c:v>
                </c:pt>
                <c:pt idx="87">
                  <c:v>-0.27881821314819383</c:v>
                </c:pt>
                <c:pt idx="88">
                  <c:v>-0.23234851095682818</c:v>
                </c:pt>
                <c:pt idx="89">
                  <c:v>-0.18587880876546256</c:v>
                </c:pt>
                <c:pt idx="90">
                  <c:v>-0.13940910657409691</c:v>
                </c:pt>
                <c:pt idx="91">
                  <c:v>-9.293940438273128E-2</c:v>
                </c:pt>
                <c:pt idx="92">
                  <c:v>-4.646970219136564E-2</c:v>
                </c:pt>
                <c:pt idx="9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22-4C42-9316-A20FC6998E5D}"/>
            </c:ext>
          </c:extLst>
        </c:ser>
        <c:ser>
          <c:idx val="1"/>
          <c:order val="1"/>
          <c:tx>
            <c:strRef>
              <c:f>'Mortality Rates'!$G$5</c:f>
              <c:strCache>
                <c:ptCount val="1"/>
                <c:pt idx="0">
                  <c:v>Male Non Smoker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Rates'!$G$6:$G$99</c:f>
              <c:numCache>
                <c:formatCode>0.00000</c:formatCode>
                <c:ptCount val="94"/>
                <c:pt idx="0">
                  <c:v>-6.9282565053852849</c:v>
                </c:pt>
                <c:pt idx="1">
                  <c:v>-6.9130032166746505</c:v>
                </c:pt>
                <c:pt idx="2">
                  <c:v>-6.8936360686379716</c:v>
                </c:pt>
                <c:pt idx="3">
                  <c:v>-6.8705134265713408</c:v>
                </c:pt>
                <c:pt idx="4">
                  <c:v>-6.8440148802805103</c:v>
                </c:pt>
                <c:pt idx="5">
                  <c:v>-6.8145173662490279</c:v>
                </c:pt>
                <c:pt idx="6">
                  <c:v>-6.7822043440858826</c:v>
                </c:pt>
                <c:pt idx="7">
                  <c:v>-6.7471938678282113</c:v>
                </c:pt>
                <c:pt idx="8">
                  <c:v>-6.7096277918616476</c:v>
                </c:pt>
                <c:pt idx="9">
                  <c:v>-6.6696673511772984</c:v>
                </c:pt>
                <c:pt idx="10">
                  <c:v>-6.628888435926962</c:v>
                </c:pt>
                <c:pt idx="11">
                  <c:v>-6.588024454688675</c:v>
                </c:pt>
                <c:pt idx="12">
                  <c:v>-6.5461135444323002</c:v>
                </c:pt>
                <c:pt idx="13">
                  <c:v>-6.5023569305435078</c:v>
                </c:pt>
                <c:pt idx="14">
                  <c:v>-6.4561131671377616</c:v>
                </c:pt>
                <c:pt idx="15">
                  <c:v>-6.4101315619207195</c:v>
                </c:pt>
                <c:pt idx="16">
                  <c:v>-6.3655172868273766</c:v>
                </c:pt>
                <c:pt idx="17">
                  <c:v>-6.3196521905595011</c:v>
                </c:pt>
                <c:pt idx="18">
                  <c:v>-6.2703788208035887</c:v>
                </c:pt>
                <c:pt idx="19">
                  <c:v>-6.2159951119084695</c:v>
                </c:pt>
                <c:pt idx="20">
                  <c:v>-6.158390472206329</c:v>
                </c:pt>
                <c:pt idx="21">
                  <c:v>-6.1003214004178234</c:v>
                </c:pt>
                <c:pt idx="22">
                  <c:v>-6.041759885976103</c:v>
                </c:pt>
                <c:pt idx="23">
                  <c:v>-5.9827036315984872</c:v>
                </c:pt>
                <c:pt idx="24">
                  <c:v>-5.9231712405163517</c:v>
                </c:pt>
                <c:pt idx="25">
                  <c:v>-5.8637822259602999</c:v>
                </c:pt>
                <c:pt idx="26">
                  <c:v>-5.8048732967388652</c:v>
                </c:pt>
                <c:pt idx="27">
                  <c:v>-5.7461174253853864</c:v>
                </c:pt>
                <c:pt idx="28">
                  <c:v>-5.6872641244409028</c:v>
                </c:pt>
                <c:pt idx="29">
                  <c:v>-5.628127910891056</c:v>
                </c:pt>
                <c:pt idx="30">
                  <c:v>-5.5690911586026717</c:v>
                </c:pt>
                <c:pt idx="31">
                  <c:v>-5.5106758101422528</c:v>
                </c:pt>
                <c:pt idx="32">
                  <c:v>-5.4529378862235998</c:v>
                </c:pt>
                <c:pt idx="33">
                  <c:v>-5.3959209425567654</c:v>
                </c:pt>
                <c:pt idx="34">
                  <c:v>-5.3396579561750297</c:v>
                </c:pt>
                <c:pt idx="35">
                  <c:v>-5.2841795555196391</c:v>
                </c:pt>
                <c:pt idx="36">
                  <c:v>-5.2295248038709286</c:v>
                </c:pt>
                <c:pt idx="37">
                  <c:v>-5.1757239841359031</c:v>
                </c:pt>
                <c:pt idx="38">
                  <c:v>-5.122797671734447</c:v>
                </c:pt>
                <c:pt idx="39">
                  <c:v>-5.0707584021555867</c:v>
                </c:pt>
                <c:pt idx="40">
                  <c:v>-4.9768554687823343</c:v>
                </c:pt>
                <c:pt idx="41">
                  <c:v>-4.8829525354090837</c:v>
                </c:pt>
                <c:pt idx="42">
                  <c:v>-4.7890496020358322</c:v>
                </c:pt>
                <c:pt idx="43">
                  <c:v>-4.6951466686625807</c:v>
                </c:pt>
                <c:pt idx="44">
                  <c:v>-4.6012437352893283</c:v>
                </c:pt>
                <c:pt idx="45">
                  <c:v>-4.5073408019160768</c:v>
                </c:pt>
                <c:pt idx="46">
                  <c:v>-4.4134378685428253</c:v>
                </c:pt>
                <c:pt idx="47">
                  <c:v>-4.3195349351695738</c:v>
                </c:pt>
                <c:pt idx="48">
                  <c:v>-4.2256320017963223</c:v>
                </c:pt>
                <c:pt idx="49">
                  <c:v>-4.1317290684230707</c:v>
                </c:pt>
                <c:pt idx="50">
                  <c:v>-4.0378261350498192</c:v>
                </c:pt>
                <c:pt idx="51">
                  <c:v>-3.9439232016765677</c:v>
                </c:pt>
                <c:pt idx="52">
                  <c:v>-3.8500202683033158</c:v>
                </c:pt>
                <c:pt idx="53">
                  <c:v>-3.7561173349300643</c:v>
                </c:pt>
                <c:pt idx="54">
                  <c:v>-3.6622144015568128</c:v>
                </c:pt>
                <c:pt idx="55">
                  <c:v>-3.5683114681835608</c:v>
                </c:pt>
                <c:pt idx="56">
                  <c:v>-3.4744085348103093</c:v>
                </c:pt>
                <c:pt idx="57">
                  <c:v>-3.3805056014370582</c:v>
                </c:pt>
                <c:pt idx="58">
                  <c:v>-3.2866026680638063</c:v>
                </c:pt>
                <c:pt idx="59">
                  <c:v>-3.1926997346905548</c:v>
                </c:pt>
                <c:pt idx="60">
                  <c:v>-3.0987968013173028</c:v>
                </c:pt>
                <c:pt idx="61">
                  <c:v>-3.0048938679440513</c:v>
                </c:pt>
                <c:pt idx="62">
                  <c:v>-2.9109909345707998</c:v>
                </c:pt>
                <c:pt idx="63">
                  <c:v>-2.8170880011975479</c:v>
                </c:pt>
                <c:pt idx="64">
                  <c:v>-2.7231850678242968</c:v>
                </c:pt>
                <c:pt idx="65">
                  <c:v>-2.6292821344510449</c:v>
                </c:pt>
                <c:pt idx="66">
                  <c:v>-2.5353792010777934</c:v>
                </c:pt>
                <c:pt idx="67">
                  <c:v>-2.4414762677045418</c:v>
                </c:pt>
                <c:pt idx="68">
                  <c:v>-2.3475733343312903</c:v>
                </c:pt>
                <c:pt idx="69">
                  <c:v>-2.2536704009580384</c:v>
                </c:pt>
                <c:pt idx="70">
                  <c:v>-2.1597674675847869</c:v>
                </c:pt>
                <c:pt idx="71">
                  <c:v>-2.0658645342115354</c:v>
                </c:pt>
                <c:pt idx="72">
                  <c:v>-1.9719616008382839</c:v>
                </c:pt>
                <c:pt idx="73">
                  <c:v>-1.8780586674650321</c:v>
                </c:pt>
                <c:pt idx="74">
                  <c:v>-1.7841557340917804</c:v>
                </c:pt>
                <c:pt idx="75">
                  <c:v>-1.6902528007185291</c:v>
                </c:pt>
                <c:pt idx="76">
                  <c:v>-1.5963498673452774</c:v>
                </c:pt>
                <c:pt idx="77">
                  <c:v>-1.5024469339720257</c:v>
                </c:pt>
                <c:pt idx="78">
                  <c:v>-1.4085440005987739</c:v>
                </c:pt>
                <c:pt idx="79">
                  <c:v>-1.3146410672255224</c:v>
                </c:pt>
                <c:pt idx="80">
                  <c:v>-1.2207381338522709</c:v>
                </c:pt>
                <c:pt idx="81">
                  <c:v>-1.1268352004790192</c:v>
                </c:pt>
                <c:pt idx="82">
                  <c:v>-1.0329322671057677</c:v>
                </c:pt>
                <c:pt idx="83">
                  <c:v>-0.93902933373251607</c:v>
                </c:pt>
                <c:pt idx="84">
                  <c:v>-0.84512640035926456</c:v>
                </c:pt>
                <c:pt idx="85">
                  <c:v>-0.75122346698601283</c:v>
                </c:pt>
                <c:pt idx="86">
                  <c:v>-0.65732053361276122</c:v>
                </c:pt>
                <c:pt idx="87">
                  <c:v>-0.5634176002395096</c:v>
                </c:pt>
                <c:pt idx="88">
                  <c:v>-0.46951466686625803</c:v>
                </c:pt>
                <c:pt idx="89">
                  <c:v>-0.37561173349300642</c:v>
                </c:pt>
                <c:pt idx="90">
                  <c:v>-0.2817088001197548</c:v>
                </c:pt>
                <c:pt idx="91">
                  <c:v>-0.18780586674650321</c:v>
                </c:pt>
                <c:pt idx="92">
                  <c:v>-9.3902933373251604E-2</c:v>
                </c:pt>
                <c:pt idx="9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22-4C42-9316-A20FC6998E5D}"/>
            </c:ext>
          </c:extLst>
        </c:ser>
        <c:ser>
          <c:idx val="2"/>
          <c:order val="2"/>
          <c:tx>
            <c:strRef>
              <c:f>'Mortality Rates'!$H$5</c:f>
              <c:strCache>
                <c:ptCount val="1"/>
                <c:pt idx="0">
                  <c:v>Female Non Smoker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Rates'!$H$6:$H$99</c:f>
              <c:numCache>
                <c:formatCode>0.00000</c:formatCode>
                <c:ptCount val="94"/>
                <c:pt idx="0">
                  <c:v>-7.6806205356556738</c:v>
                </c:pt>
                <c:pt idx="1">
                  <c:v>-7.6632667690560279</c:v>
                </c:pt>
                <c:pt idx="2">
                  <c:v>-7.6389226457070496</c:v>
                </c:pt>
                <c:pt idx="3">
                  <c:v>-7.6082078561576907</c:v>
                </c:pt>
                <c:pt idx="4">
                  <c:v>-7.5718201028355434</c:v>
                </c:pt>
                <c:pt idx="5">
                  <c:v>-7.5305205591151427</c:v>
                </c:pt>
                <c:pt idx="6">
                  <c:v>-7.4848908728921772</c:v>
                </c:pt>
                <c:pt idx="7">
                  <c:v>-7.4354119913693015</c:v>
                </c:pt>
                <c:pt idx="8">
                  <c:v>-7.3825740159130149</c:v>
                </c:pt>
                <c:pt idx="9">
                  <c:v>-7.3268607011819675</c:v>
                </c:pt>
                <c:pt idx="10">
                  <c:v>-7.2696971429419088</c:v>
                </c:pt>
                <c:pt idx="11">
                  <c:v>-7.2118596628139997</c:v>
                </c:pt>
                <c:pt idx="12">
                  <c:v>-7.1529438326664332</c:v>
                </c:pt>
                <c:pt idx="13">
                  <c:v>-7.0926626002176061</c:v>
                </c:pt>
                <c:pt idx="14">
                  <c:v>-7.0308318215238108</c:v>
                </c:pt>
                <c:pt idx="15">
                  <c:v>-6.9716228200276245</c:v>
                </c:pt>
                <c:pt idx="16">
                  <c:v>-6.9159081074709539</c:v>
                </c:pt>
                <c:pt idx="17">
                  <c:v>-6.8593989043383736</c:v>
                </c:pt>
                <c:pt idx="18">
                  <c:v>-6.7987057152471131</c:v>
                </c:pt>
                <c:pt idx="19">
                  <c:v>-6.7312885093438162</c:v>
                </c:pt>
                <c:pt idx="20">
                  <c:v>-6.6593917483845608</c:v>
                </c:pt>
                <c:pt idx="21">
                  <c:v>-6.5871276726615609</c:v>
                </c:pt>
                <c:pt idx="22">
                  <c:v>-6.5152490063475659</c:v>
                </c:pt>
                <c:pt idx="23">
                  <c:v>-6.4443336897323773</c:v>
                </c:pt>
                <c:pt idx="24">
                  <c:v>-6.3748156961539149</c:v>
                </c:pt>
                <c:pt idx="25">
                  <c:v>-6.3067482211878323</c:v>
                </c:pt>
                <c:pt idx="26">
                  <c:v>-6.2398143917899356</c:v>
                </c:pt>
                <c:pt idx="27">
                  <c:v>-6.1738365949310632</c:v>
                </c:pt>
                <c:pt idx="28">
                  <c:v>-6.1086759872276009</c:v>
                </c:pt>
                <c:pt idx="29">
                  <c:v>-6.0442252454752916</c:v>
                </c:pt>
                <c:pt idx="30">
                  <c:v>-5.9806332330232017</c:v>
                </c:pt>
                <c:pt idx="31">
                  <c:v>-5.9181628444936747</c:v>
                </c:pt>
                <c:pt idx="32">
                  <c:v>-5.8568786486236304</c:v>
                </c:pt>
                <c:pt idx="33">
                  <c:v>-5.7968236487842395</c:v>
                </c:pt>
                <c:pt idx="34">
                  <c:v>-5.738023537152027</c:v>
                </c:pt>
                <c:pt idx="35">
                  <c:v>-5.6804463403476468</c:v>
                </c:pt>
                <c:pt idx="36">
                  <c:v>-5.6240389312788874</c:v>
                </c:pt>
                <c:pt idx="37">
                  <c:v>-5.5687815751218244</c:v>
                </c:pt>
                <c:pt idx="38">
                  <c:v>-5.5146514768879795</c:v>
                </c:pt>
                <c:pt idx="39">
                  <c:v>-5.4616236122370454</c:v>
                </c:pt>
                <c:pt idx="40">
                  <c:v>-5.3604824342326554</c:v>
                </c:pt>
                <c:pt idx="41">
                  <c:v>-5.2593412562282662</c:v>
                </c:pt>
                <c:pt idx="42">
                  <c:v>-5.1582000782238762</c:v>
                </c:pt>
                <c:pt idx="43">
                  <c:v>-5.057058900219487</c:v>
                </c:pt>
                <c:pt idx="44">
                  <c:v>-4.955917722215097</c:v>
                </c:pt>
                <c:pt idx="45">
                  <c:v>-4.8547765442107069</c:v>
                </c:pt>
                <c:pt idx="46">
                  <c:v>-4.7536353662063169</c:v>
                </c:pt>
                <c:pt idx="47">
                  <c:v>-4.6524941882019277</c:v>
                </c:pt>
                <c:pt idx="48">
                  <c:v>-4.5513530101975377</c:v>
                </c:pt>
                <c:pt idx="49">
                  <c:v>-4.4502118321931485</c:v>
                </c:pt>
                <c:pt idx="50">
                  <c:v>-4.3490706541887585</c:v>
                </c:pt>
                <c:pt idx="51">
                  <c:v>-4.2479294761843684</c:v>
                </c:pt>
                <c:pt idx="52">
                  <c:v>-4.1467882981799784</c:v>
                </c:pt>
                <c:pt idx="53">
                  <c:v>-4.0456471201755893</c:v>
                </c:pt>
                <c:pt idx="54">
                  <c:v>-3.9445059421711992</c:v>
                </c:pt>
                <c:pt idx="55">
                  <c:v>-3.8433647641668096</c:v>
                </c:pt>
                <c:pt idx="56">
                  <c:v>-3.7422235861624205</c:v>
                </c:pt>
                <c:pt idx="57">
                  <c:v>-3.6410824081580304</c:v>
                </c:pt>
                <c:pt idx="58">
                  <c:v>-3.5399412301536408</c:v>
                </c:pt>
                <c:pt idx="59">
                  <c:v>-3.4388000521492508</c:v>
                </c:pt>
                <c:pt idx="60">
                  <c:v>-3.3376588741448612</c:v>
                </c:pt>
                <c:pt idx="61">
                  <c:v>-3.2365176961404711</c:v>
                </c:pt>
                <c:pt idx="62">
                  <c:v>-3.1353765181360815</c:v>
                </c:pt>
                <c:pt idx="63">
                  <c:v>-3.0342353401316919</c:v>
                </c:pt>
                <c:pt idx="64">
                  <c:v>-2.9330941621273019</c:v>
                </c:pt>
                <c:pt idx="65">
                  <c:v>-2.8319529841229123</c:v>
                </c:pt>
                <c:pt idx="66">
                  <c:v>-2.7308118061185223</c:v>
                </c:pt>
                <c:pt idx="67">
                  <c:v>-2.6296706281141331</c:v>
                </c:pt>
                <c:pt idx="68">
                  <c:v>-2.5285294501097435</c:v>
                </c:pt>
                <c:pt idx="69">
                  <c:v>-2.4273882721053535</c:v>
                </c:pt>
                <c:pt idx="70">
                  <c:v>-2.3262470941009639</c:v>
                </c:pt>
                <c:pt idx="71">
                  <c:v>-2.2251059160965743</c:v>
                </c:pt>
                <c:pt idx="72">
                  <c:v>-2.1239647380921842</c:v>
                </c:pt>
                <c:pt idx="73">
                  <c:v>-2.0228235600877946</c:v>
                </c:pt>
                <c:pt idx="74">
                  <c:v>-1.9216823820834048</c:v>
                </c:pt>
                <c:pt idx="75">
                  <c:v>-1.8205412040790152</c:v>
                </c:pt>
                <c:pt idx="76">
                  <c:v>-1.7194000260746254</c:v>
                </c:pt>
                <c:pt idx="77">
                  <c:v>-1.6182588480702356</c:v>
                </c:pt>
                <c:pt idx="78">
                  <c:v>-1.517117670065846</c:v>
                </c:pt>
                <c:pt idx="79">
                  <c:v>-1.4159764920614561</c:v>
                </c:pt>
                <c:pt idx="80">
                  <c:v>-1.3148353140570666</c:v>
                </c:pt>
                <c:pt idx="81">
                  <c:v>-1.2136941360526767</c:v>
                </c:pt>
                <c:pt idx="82">
                  <c:v>-1.1125529580482871</c:v>
                </c:pt>
                <c:pt idx="83">
                  <c:v>-1.0114117800438973</c:v>
                </c:pt>
                <c:pt idx="84">
                  <c:v>-0.9102706020395076</c:v>
                </c:pt>
                <c:pt idx="85">
                  <c:v>-0.80912942403511778</c:v>
                </c:pt>
                <c:pt idx="86">
                  <c:v>-0.70798824603072807</c:v>
                </c:pt>
                <c:pt idx="87">
                  <c:v>-0.60684706802633837</c:v>
                </c:pt>
                <c:pt idx="88">
                  <c:v>-0.50570589002194866</c:v>
                </c:pt>
                <c:pt idx="89">
                  <c:v>-0.40456471201755889</c:v>
                </c:pt>
                <c:pt idx="90">
                  <c:v>-0.30342353401316918</c:v>
                </c:pt>
                <c:pt idx="91">
                  <c:v>-0.20228235600877945</c:v>
                </c:pt>
                <c:pt idx="92">
                  <c:v>-0.10114117800438972</c:v>
                </c:pt>
                <c:pt idx="9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22-4C42-9316-A20FC6998E5D}"/>
            </c:ext>
          </c:extLst>
        </c:ser>
        <c:ser>
          <c:idx val="3"/>
          <c:order val="3"/>
          <c:tx>
            <c:strRef>
              <c:f>'Mortality Rates'!$I$5</c:f>
              <c:strCache>
                <c:ptCount val="1"/>
                <c:pt idx="0">
                  <c:v>Lumaria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'Mortality Rates'!$A$6:$A$99</c:f>
              <c:numCache>
                <c:formatCode>General</c:formatCode>
                <c:ptCount val="94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72</c:v>
                </c:pt>
                <c:pt idx="47">
                  <c:v>73</c:v>
                </c:pt>
                <c:pt idx="48">
                  <c:v>74</c:v>
                </c:pt>
                <c:pt idx="49">
                  <c:v>75</c:v>
                </c:pt>
                <c:pt idx="50">
                  <c:v>76</c:v>
                </c:pt>
                <c:pt idx="51">
                  <c:v>77</c:v>
                </c:pt>
                <c:pt idx="52">
                  <c:v>78</c:v>
                </c:pt>
                <c:pt idx="53">
                  <c:v>79</c:v>
                </c:pt>
                <c:pt idx="54">
                  <c:v>80</c:v>
                </c:pt>
                <c:pt idx="55">
                  <c:v>81</c:v>
                </c:pt>
                <c:pt idx="56">
                  <c:v>82</c:v>
                </c:pt>
                <c:pt idx="57">
                  <c:v>83</c:v>
                </c:pt>
                <c:pt idx="58">
                  <c:v>84</c:v>
                </c:pt>
                <c:pt idx="59">
                  <c:v>85</c:v>
                </c:pt>
                <c:pt idx="60">
                  <c:v>86</c:v>
                </c:pt>
                <c:pt idx="61">
                  <c:v>87</c:v>
                </c:pt>
                <c:pt idx="62">
                  <c:v>88</c:v>
                </c:pt>
                <c:pt idx="63">
                  <c:v>89</c:v>
                </c:pt>
                <c:pt idx="64">
                  <c:v>90</c:v>
                </c:pt>
                <c:pt idx="65">
                  <c:v>91</c:v>
                </c:pt>
                <c:pt idx="66">
                  <c:v>92</c:v>
                </c:pt>
                <c:pt idx="67">
                  <c:v>93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98</c:v>
                </c:pt>
                <c:pt idx="73">
                  <c:v>99</c:v>
                </c:pt>
                <c:pt idx="74">
                  <c:v>100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117</c:v>
                </c:pt>
                <c:pt idx="92">
                  <c:v>118</c:v>
                </c:pt>
                <c:pt idx="93">
                  <c:v>119</c:v>
                </c:pt>
              </c:numCache>
            </c:numRef>
          </c:xVal>
          <c:yVal>
            <c:numRef>
              <c:f>'Mortality Rates'!$I$6:$I$99</c:f>
              <c:numCache>
                <c:formatCode>0.00000</c:formatCode>
                <c:ptCount val="94"/>
                <c:pt idx="0">
                  <c:v>-7.4733891392431229</c:v>
                </c:pt>
                <c:pt idx="1">
                  <c:v>-7.4473233716137814</c:v>
                </c:pt>
                <c:pt idx="2">
                  <c:v>-7.4202489598488244</c:v>
                </c:pt>
                <c:pt idx="3">
                  <c:v>-7.3874052852796783</c:v>
                </c:pt>
                <c:pt idx="4">
                  <c:v>-7.3385381950745909</c:v>
                </c:pt>
                <c:pt idx="5">
                  <c:v>-7.2831762657419246</c:v>
                </c:pt>
                <c:pt idx="6">
                  <c:v>-7.2321013358055097</c:v>
                </c:pt>
                <c:pt idx="7">
                  <c:v>-7.1704195884586301</c:v>
                </c:pt>
                <c:pt idx="8">
                  <c:v>-7.1098714631042714</c:v>
                </c:pt>
                <c:pt idx="9">
                  <c:v>-7.0435750021246717</c:v>
                </c:pt>
                <c:pt idx="10">
                  <c:v>-6.9590485733696879</c:v>
                </c:pt>
                <c:pt idx="11">
                  <c:v>-6.8694965668650463</c:v>
                </c:pt>
                <c:pt idx="12">
                  <c:v>-6.7855376462578878</c:v>
                </c:pt>
                <c:pt idx="13">
                  <c:v>-6.7039984414681175</c:v>
                </c:pt>
                <c:pt idx="14">
                  <c:v>-6.6173269808623312</c:v>
                </c:pt>
                <c:pt idx="15">
                  <c:v>-6.5382628313327906</c:v>
                </c:pt>
                <c:pt idx="16">
                  <c:v>-6.454770654905996</c:v>
                </c:pt>
                <c:pt idx="17">
                  <c:v>-6.371846874848683</c:v>
                </c:pt>
                <c:pt idx="18">
                  <c:v>-6.2887929966115683</c:v>
                </c:pt>
                <c:pt idx="19">
                  <c:v>-6.2076324846857664</c:v>
                </c:pt>
                <c:pt idx="20">
                  <c:v>-6.1197525674095132</c:v>
                </c:pt>
                <c:pt idx="21">
                  <c:v>-6.027713679783103</c:v>
                </c:pt>
                <c:pt idx="22">
                  <c:v>-5.9388720969888116</c:v>
                </c:pt>
                <c:pt idx="23">
                  <c:v>-5.849617822879746</c:v>
                </c:pt>
                <c:pt idx="24">
                  <c:v>-5.7619413888297331</c:v>
                </c:pt>
                <c:pt idx="25">
                  <c:v>-5.6696709450274332</c:v>
                </c:pt>
                <c:pt idx="26">
                  <c:v>-5.5740708681345437</c:v>
                </c:pt>
                <c:pt idx="27">
                  <c:v>-5.4779226158477625</c:v>
                </c:pt>
                <c:pt idx="28">
                  <c:v>-5.3788768744064539</c:v>
                </c:pt>
                <c:pt idx="29">
                  <c:v>-5.2773389601628446</c:v>
                </c:pt>
                <c:pt idx="30">
                  <c:v>-5.1814236150765369</c:v>
                </c:pt>
                <c:pt idx="31">
                  <c:v>-5.0880564410648406</c:v>
                </c:pt>
                <c:pt idx="32">
                  <c:v>-4.9943683216323835</c:v>
                </c:pt>
                <c:pt idx="33">
                  <c:v>-4.8927189339946375</c:v>
                </c:pt>
                <c:pt idx="34">
                  <c:v>-4.7946372109429172</c:v>
                </c:pt>
                <c:pt idx="35">
                  <c:v>-4.7056537245664138</c:v>
                </c:pt>
                <c:pt idx="36">
                  <c:v>-4.6161300262244334</c:v>
                </c:pt>
                <c:pt idx="37">
                  <c:v>-4.5289501600766826</c:v>
                </c:pt>
                <c:pt idx="38">
                  <c:v>-4.440079566122499</c:v>
                </c:pt>
                <c:pt idx="39">
                  <c:v>-4.3465050626068029</c:v>
                </c:pt>
                <c:pt idx="40">
                  <c:v>-4.2552882624569603</c:v>
                </c:pt>
                <c:pt idx="41">
                  <c:v>-4.1667217253979123</c:v>
                </c:pt>
                <c:pt idx="42">
                  <c:v>-4.0755424352595044</c:v>
                </c:pt>
                <c:pt idx="43">
                  <c:v>-3.9818019000360625</c:v>
                </c:pt>
                <c:pt idx="44">
                  <c:v>-3.8843105668616102</c:v>
                </c:pt>
                <c:pt idx="45">
                  <c:v>-3.7824870840791123</c:v>
                </c:pt>
                <c:pt idx="46">
                  <c:v>-3.676674241675574</c:v>
                </c:pt>
                <c:pt idx="47">
                  <c:v>-3.5636927820249777</c:v>
                </c:pt>
                <c:pt idx="48">
                  <c:v>-3.4475031345386671</c:v>
                </c:pt>
                <c:pt idx="49">
                  <c:v>-3.3288581156044308</c:v>
                </c:pt>
                <c:pt idx="50">
                  <c:v>-3.2073178760344718</c:v>
                </c:pt>
                <c:pt idx="51">
                  <c:v>-3.086905024334305</c:v>
                </c:pt>
                <c:pt idx="52">
                  <c:v>-2.9680003818161014</c:v>
                </c:pt>
                <c:pt idx="53">
                  <c:v>-2.8525674319612304</c:v>
                </c:pt>
                <c:pt idx="54">
                  <c:v>-2.739386081412063</c:v>
                </c:pt>
                <c:pt idx="55">
                  <c:v>-2.6257147391841826</c:v>
                </c:pt>
                <c:pt idx="56">
                  <c:v>-2.5117147985478367</c:v>
                </c:pt>
                <c:pt idx="57">
                  <c:v>-2.3970386398131978</c:v>
                </c:pt>
                <c:pt idx="58">
                  <c:v>-2.2863574758893948</c:v>
                </c:pt>
                <c:pt idx="59">
                  <c:v>-2.1824670079109953</c:v>
                </c:pt>
                <c:pt idx="60">
                  <c:v>-2.0801618010043192</c:v>
                </c:pt>
                <c:pt idx="61">
                  <c:v>-1.980276981371039</c:v>
                </c:pt>
                <c:pt idx="62">
                  <c:v>-1.880662816683788</c:v>
                </c:pt>
                <c:pt idx="63">
                  <c:v>-1.780950101512135</c:v>
                </c:pt>
                <c:pt idx="64">
                  <c:v>-1.6908757595288773</c:v>
                </c:pt>
                <c:pt idx="65">
                  <c:v>-1.6019261961502615</c:v>
                </c:pt>
                <c:pt idx="66">
                  <c:v>-1.5165032792804845</c:v>
                </c:pt>
                <c:pt idx="67">
                  <c:v>-1.4352955475529543</c:v>
                </c:pt>
                <c:pt idx="68">
                  <c:v>-1.3549236092180588</c:v>
                </c:pt>
                <c:pt idx="69">
                  <c:v>-1.2784988125625156</c:v>
                </c:pt>
                <c:pt idx="70">
                  <c:v>-1.2034562710855357</c:v>
                </c:pt>
                <c:pt idx="71">
                  <c:v>-1.129709844183473</c:v>
                </c:pt>
                <c:pt idx="72">
                  <c:v>-1.0598060844887274</c:v>
                </c:pt>
                <c:pt idx="73">
                  <c:v>-0.99162599530334739</c:v>
                </c:pt>
                <c:pt idx="74">
                  <c:v>-0.92738201336402926</c:v>
                </c:pt>
                <c:pt idx="75">
                  <c:v>-0.86797687159560444</c:v>
                </c:pt>
                <c:pt idx="76">
                  <c:v>-0.81060052057191112</c:v>
                </c:pt>
                <c:pt idx="77">
                  <c:v>-0.75541415029170134</c:v>
                </c:pt>
                <c:pt idx="78">
                  <c:v>-0.70256741194066885</c:v>
                </c:pt>
                <c:pt idx="79">
                  <c:v>-0.65216263925113527</c:v>
                </c:pt>
                <c:pt idx="80">
                  <c:v>-0.60392824202831485</c:v>
                </c:pt>
                <c:pt idx="81">
                  <c:v>-0.55759408295884128</c:v>
                </c:pt>
                <c:pt idx="82">
                  <c:v>-0.5132518981238956</c:v>
                </c:pt>
                <c:pt idx="83">
                  <c:v>-0.47097690272274617</c:v>
                </c:pt>
                <c:pt idx="84">
                  <c:v>-0.4240380218121268</c:v>
                </c:pt>
                <c:pt idx="85">
                  <c:v>-0.3794421612927053</c:v>
                </c:pt>
                <c:pt idx="86">
                  <c:v>-0.33703059247283312</c:v>
                </c:pt>
                <c:pt idx="87">
                  <c:v>-0.29666361939432589</c:v>
                </c:pt>
                <c:pt idx="88">
                  <c:v>-0.25821647843748352</c:v>
                </c:pt>
                <c:pt idx="89">
                  <c:v>-0.22137761150418148</c:v>
                </c:pt>
                <c:pt idx="90">
                  <c:v>-0.18584897081015897</c:v>
                </c:pt>
                <c:pt idx="91">
                  <c:v>-0.15153826183126659</c:v>
                </c:pt>
                <c:pt idx="92">
                  <c:v>-0.11836583044828194</c:v>
                </c:pt>
                <c:pt idx="9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22-4C42-9316-A20FC6998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163791"/>
        <c:axId val="949308095"/>
      </c:scatterChart>
      <c:valAx>
        <c:axId val="949163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308095"/>
        <c:crosses val="autoZero"/>
        <c:crossBetween val="midCat"/>
      </c:valAx>
      <c:valAx>
        <c:axId val="94930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163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Withdrawal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'Lapse Rates'!$B$4</c:f>
              <c:strCache>
                <c:ptCount val="1"/>
                <c:pt idx="0">
                  <c:v>Smoker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'Lapse Rates'!$A$5:$A$24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'Lapse Rates'!$B$5:$B$24</c:f>
              <c:numCache>
                <c:formatCode>0.00%</c:formatCode>
                <c:ptCount val="20"/>
                <c:pt idx="0">
                  <c:v>8.6011506944848031E-3</c:v>
                </c:pt>
                <c:pt idx="1">
                  <c:v>7.8201568114995099E-3</c:v>
                </c:pt>
                <c:pt idx="2">
                  <c:v>8.710463336279943E-3</c:v>
                </c:pt>
                <c:pt idx="3">
                  <c:v>7.7029202115428833E-3</c:v>
                </c:pt>
                <c:pt idx="4">
                  <c:v>9.0745886924230874E-3</c:v>
                </c:pt>
                <c:pt idx="5">
                  <c:v>9.2631690066504804E-3</c:v>
                </c:pt>
                <c:pt idx="6">
                  <c:v>9.7696742495242961E-3</c:v>
                </c:pt>
                <c:pt idx="7">
                  <c:v>8.3835633203806267E-3</c:v>
                </c:pt>
                <c:pt idx="8">
                  <c:v>9.5618857238047635E-3</c:v>
                </c:pt>
                <c:pt idx="9">
                  <c:v>8.4652995694373488E-3</c:v>
                </c:pt>
                <c:pt idx="10">
                  <c:v>8.7352065051123102E-3</c:v>
                </c:pt>
                <c:pt idx="11">
                  <c:v>7.9361520871631622E-3</c:v>
                </c:pt>
                <c:pt idx="12">
                  <c:v>7.4619340526368861E-3</c:v>
                </c:pt>
                <c:pt idx="13">
                  <c:v>8.4507042253521118E-3</c:v>
                </c:pt>
                <c:pt idx="14">
                  <c:v>7.8254526162212356E-3</c:v>
                </c:pt>
                <c:pt idx="15">
                  <c:v>8.4785314250155567E-3</c:v>
                </c:pt>
                <c:pt idx="16">
                  <c:v>9.5185287866186123E-3</c:v>
                </c:pt>
                <c:pt idx="17">
                  <c:v>7.730786721236926E-3</c:v>
                </c:pt>
                <c:pt idx="18">
                  <c:v>0.75921375921375922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68-4639-8604-33AD82C9E2F9}"/>
            </c:ext>
          </c:extLst>
        </c:ser>
        <c:ser>
          <c:idx val="1"/>
          <c:order val="1"/>
          <c:tx>
            <c:v>Male non-smoker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'Lapse Rates'!$A$5:$A$24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'Lapse Rates'!$C$5:$C$24</c:f>
              <c:numCache>
                <c:formatCode>0.00%</c:formatCode>
                <c:ptCount val="20"/>
                <c:pt idx="0">
                  <c:v>9.4302857524040905E-3</c:v>
                </c:pt>
                <c:pt idx="1">
                  <c:v>9.5454953338119167E-3</c:v>
                </c:pt>
                <c:pt idx="2">
                  <c:v>9.8105264836378277E-3</c:v>
                </c:pt>
                <c:pt idx="3">
                  <c:v>9.3207513194393833E-3</c:v>
                </c:pt>
                <c:pt idx="4">
                  <c:v>9.1711135488909135E-3</c:v>
                </c:pt>
                <c:pt idx="5">
                  <c:v>9.5232336668984487E-3</c:v>
                </c:pt>
                <c:pt idx="6">
                  <c:v>9.1770666142574828E-3</c:v>
                </c:pt>
                <c:pt idx="7">
                  <c:v>9.4759486319432509E-3</c:v>
                </c:pt>
                <c:pt idx="8">
                  <c:v>9.3447604917061989E-3</c:v>
                </c:pt>
                <c:pt idx="9">
                  <c:v>9.3762477896297981E-3</c:v>
                </c:pt>
                <c:pt idx="10">
                  <c:v>9.0305423865641998E-3</c:v>
                </c:pt>
                <c:pt idx="11">
                  <c:v>9.1483433601306143E-3</c:v>
                </c:pt>
                <c:pt idx="12">
                  <c:v>9.2323818738913078E-3</c:v>
                </c:pt>
                <c:pt idx="13">
                  <c:v>8.9942575125112421E-3</c:v>
                </c:pt>
                <c:pt idx="14">
                  <c:v>8.5066036350039398E-3</c:v>
                </c:pt>
                <c:pt idx="15">
                  <c:v>8.5384386407432351E-3</c:v>
                </c:pt>
                <c:pt idx="16">
                  <c:v>7.5948896976899653E-3</c:v>
                </c:pt>
                <c:pt idx="17">
                  <c:v>7.9489064510200325E-3</c:v>
                </c:pt>
                <c:pt idx="18">
                  <c:v>0.77652634350408101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68-4639-8604-33AD82C9E2F9}"/>
            </c:ext>
          </c:extLst>
        </c:ser>
        <c:ser>
          <c:idx val="2"/>
          <c:order val="2"/>
          <c:tx>
            <c:v>Female non-smoker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'Lapse Rates'!$A$5:$A$24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'Lapse Rates'!$D$5:$D$24</c:f>
              <c:numCache>
                <c:formatCode>0.00%</c:formatCode>
                <c:ptCount val="20"/>
                <c:pt idx="0">
                  <c:v>9.543710345351621E-3</c:v>
                </c:pt>
                <c:pt idx="1">
                  <c:v>9.6026260242596962E-3</c:v>
                </c:pt>
                <c:pt idx="2">
                  <c:v>9.1095162381299583E-3</c:v>
                </c:pt>
                <c:pt idx="3">
                  <c:v>9.3262965362191814E-3</c:v>
                </c:pt>
                <c:pt idx="4">
                  <c:v>8.999150630253196E-3</c:v>
                </c:pt>
                <c:pt idx="5">
                  <c:v>9.6738845069457916E-3</c:v>
                </c:pt>
                <c:pt idx="6">
                  <c:v>9.2830646624254814E-3</c:v>
                </c:pt>
                <c:pt idx="7">
                  <c:v>9.0851295092389418E-3</c:v>
                </c:pt>
                <c:pt idx="8">
                  <c:v>9.463794162476967E-3</c:v>
                </c:pt>
                <c:pt idx="9">
                  <c:v>8.8545338570517346E-3</c:v>
                </c:pt>
                <c:pt idx="10">
                  <c:v>9.0860401965666606E-3</c:v>
                </c:pt>
                <c:pt idx="11">
                  <c:v>8.6264665524980588E-3</c:v>
                </c:pt>
                <c:pt idx="12">
                  <c:v>8.7097205834053056E-3</c:v>
                </c:pt>
                <c:pt idx="13">
                  <c:v>8.8982161594963281E-3</c:v>
                </c:pt>
                <c:pt idx="14">
                  <c:v>8.9123080926359621E-3</c:v>
                </c:pt>
                <c:pt idx="15">
                  <c:v>8.4138780854095263E-3</c:v>
                </c:pt>
                <c:pt idx="16">
                  <c:v>8.2990429515927694E-3</c:v>
                </c:pt>
                <c:pt idx="17">
                  <c:v>7.7465602959879759E-3</c:v>
                </c:pt>
                <c:pt idx="18">
                  <c:v>0.77299862805443287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68-4639-8604-33AD82C9E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509263"/>
        <c:axId val="588503023"/>
      </c:scatterChart>
      <c:valAx>
        <c:axId val="588509263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  <a:alpha val="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Policy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03023"/>
        <c:crosses val="autoZero"/>
        <c:crossBetween val="midCat"/>
      </c:valAx>
      <c:valAx>
        <c:axId val="58850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 of withdrawal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09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90473</xdr:colOff>
          <xdr:row>2</xdr:row>
          <xdr:rowOff>85717</xdr:rowOff>
        </xdr:from>
        <xdr:to>
          <xdr:col>13</xdr:col>
          <xdr:colOff>752475</xdr:colOff>
          <xdr:row>14</xdr:row>
          <xdr:rowOff>142888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6567473" y="609592"/>
              <a:ext cx="7329502" cy="2557484"/>
              <a:chOff x="6272198" y="781042"/>
              <a:chExt cx="7367602" cy="2524146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100-000003000000}"/>
                  </a:ext>
                </a:extLst>
              </xdr:cNvPr>
              <xdr:cNvGrpSpPr/>
            </xdr:nvGrpSpPr>
            <xdr:grpSpPr>
              <a:xfrm>
                <a:off x="6272198" y="790575"/>
                <a:ext cx="3186114" cy="2495549"/>
                <a:chOff x="6000736" y="714374"/>
                <a:chExt cx="2781300" cy="2140744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  <a:ext uri="{FF2B5EF4-FFF2-40B4-BE49-F238E27FC236}">
                      <a16:creationId xmlns:a16="http://schemas.microsoft.com/office/drawing/2014/main" id="{00000000-0008-0000-0100-000003080000}"/>
                    </a:ext>
                  </a:extLst>
                </xdr:cNvPr>
                <xdr:cNvSpPr/>
              </xdr:nvSpPr>
              <xdr:spPr bwMode="auto">
                <a:xfrm>
                  <a:off x="6003130" y="714374"/>
                  <a:ext cx="2767013" cy="90964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AU" sz="12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T20 Premium &amp; Profit Calculation No Program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  <a:ext uri="{FF2B5EF4-FFF2-40B4-BE49-F238E27FC236}">
                      <a16:creationId xmlns:a16="http://schemas.microsoft.com/office/drawing/2014/main" id="{00000000-0008-0000-0100-000004080000}"/>
                    </a:ext>
                  </a:extLst>
                </xdr:cNvPr>
                <xdr:cNvSpPr/>
              </xdr:nvSpPr>
              <xdr:spPr bwMode="auto">
                <a:xfrm>
                  <a:off x="6000736" y="1978819"/>
                  <a:ext cx="2781300" cy="87629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AU" sz="12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SPWL Premium &amp; Profit Calculation No Program</a:t>
                  </a:r>
                </a:p>
              </xdr:txBody>
            </xdr:sp>
          </xdr:grp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GrpSpPr/>
            </xdr:nvGrpSpPr>
            <xdr:grpSpPr>
              <a:xfrm>
                <a:off x="10458450" y="781042"/>
                <a:ext cx="3181350" cy="2524146"/>
                <a:chOff x="10010775" y="761993"/>
                <a:chExt cx="2800350" cy="2133618"/>
              </a:xfrm>
            </xdr:grpSpPr>
            <xdr:sp macro="" textlink="">
              <xdr:nvSpPr>
                <xdr:cNvPr id="2053" name="Button 5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100-000005080000}"/>
                    </a:ext>
                  </a:extLst>
                </xdr:cNvPr>
                <xdr:cNvSpPr/>
              </xdr:nvSpPr>
              <xdr:spPr bwMode="auto">
                <a:xfrm>
                  <a:off x="10010775" y="761993"/>
                  <a:ext cx="2800350" cy="86678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AU" sz="12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T20 Profit Calculation With Program</a:t>
                  </a:r>
                </a:p>
              </xdr:txBody>
            </xdr:sp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100-000006080000}"/>
                    </a:ext>
                  </a:extLst>
                </xdr:cNvPr>
                <xdr:cNvSpPr/>
              </xdr:nvSpPr>
              <xdr:spPr bwMode="auto">
                <a:xfrm>
                  <a:off x="10010775" y="2028831"/>
                  <a:ext cx="2800350" cy="8667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AU" sz="12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SPWL Profit Calculation With Program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95241</xdr:colOff>
          <xdr:row>22</xdr:row>
          <xdr:rowOff>107159</xdr:rowOff>
        </xdr:from>
        <xdr:to>
          <xdr:col>13</xdr:col>
          <xdr:colOff>757243</xdr:colOff>
          <xdr:row>34</xdr:row>
          <xdr:rowOff>80966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pSpPr/>
          </xdr:nvGrpSpPr>
          <xdr:grpSpPr>
            <a:xfrm>
              <a:off x="6572241" y="4774409"/>
              <a:ext cx="7329502" cy="2557463"/>
              <a:chOff x="6272198" y="781051"/>
              <a:chExt cx="7367602" cy="2524127"/>
            </a:xfrm>
          </xdr:grpSpPr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GrpSpPr/>
            </xdr:nvGrpSpPr>
            <xdr:grpSpPr>
              <a:xfrm>
                <a:off x="6272198" y="790573"/>
                <a:ext cx="3186114" cy="2495550"/>
                <a:chOff x="6000736" y="714372"/>
                <a:chExt cx="2781300" cy="2140746"/>
              </a:xfrm>
            </xdr:grpSpPr>
            <xdr:sp macro="" textlink="">
              <xdr:nvSpPr>
                <xdr:cNvPr id="2063" name="Button 15" hidden="1">
                  <a:extLst>
                    <a:ext uri="{63B3BB69-23CF-44E3-9099-C40C66FF867C}">
                      <a14:compatExt spid="_x0000_s2063"/>
                    </a:ext>
                    <a:ext uri="{FF2B5EF4-FFF2-40B4-BE49-F238E27FC236}">
                      <a16:creationId xmlns:a16="http://schemas.microsoft.com/office/drawing/2014/main" id="{00000000-0008-0000-0100-00000F080000}"/>
                    </a:ext>
                  </a:extLst>
                </xdr:cNvPr>
                <xdr:cNvSpPr/>
              </xdr:nvSpPr>
              <xdr:spPr bwMode="auto">
                <a:xfrm>
                  <a:off x="6003130" y="714372"/>
                  <a:ext cx="2767013" cy="90964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AU" sz="12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T20 Profit Calculation No Program</a:t>
                  </a:r>
                </a:p>
              </xdr:txBody>
            </xdr:sp>
            <xdr:sp macro="" textlink="">
              <xdr:nvSpPr>
                <xdr:cNvPr id="2064" name="Button 16" hidden="1">
                  <a:extLst>
                    <a:ext uri="{63B3BB69-23CF-44E3-9099-C40C66FF867C}">
                      <a14:compatExt spid="_x0000_s2064"/>
                    </a:ext>
                    <a:ext uri="{FF2B5EF4-FFF2-40B4-BE49-F238E27FC236}">
                      <a16:creationId xmlns:a16="http://schemas.microsoft.com/office/drawing/2014/main" id="{00000000-0008-0000-0100-000010080000}"/>
                    </a:ext>
                  </a:extLst>
                </xdr:cNvPr>
                <xdr:cNvSpPr/>
              </xdr:nvSpPr>
              <xdr:spPr bwMode="auto">
                <a:xfrm>
                  <a:off x="6000736" y="1978818"/>
                  <a:ext cx="2781300" cy="8763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AU" sz="12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SPWL Profit Calculation No Program</a:t>
                  </a:r>
                </a:p>
              </xdr:txBody>
            </xdr:sp>
          </xdr:grpSp>
          <xdr:grpSp>
            <xdr:nvGrpSpPr>
              <xdr:cNvPr id="14" name="Group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10458450" y="781051"/>
                <a:ext cx="3181350" cy="2524127"/>
                <a:chOff x="10010775" y="762000"/>
                <a:chExt cx="2800350" cy="2133601"/>
              </a:xfrm>
            </xdr:grpSpPr>
            <xdr:sp macro="" textlink="">
              <xdr:nvSpPr>
                <xdr:cNvPr id="2065" name="Button 17" hidden="1">
                  <a:extLst>
                    <a:ext uri="{63B3BB69-23CF-44E3-9099-C40C66FF867C}">
                      <a14:compatExt spid="_x0000_s2065"/>
                    </a:ext>
                    <a:ext uri="{FF2B5EF4-FFF2-40B4-BE49-F238E27FC236}">
                      <a16:creationId xmlns:a16="http://schemas.microsoft.com/office/drawing/2014/main" id="{00000000-0008-0000-0100-000011080000}"/>
                    </a:ext>
                  </a:extLst>
                </xdr:cNvPr>
                <xdr:cNvSpPr/>
              </xdr:nvSpPr>
              <xdr:spPr bwMode="auto">
                <a:xfrm>
                  <a:off x="10010775" y="762000"/>
                  <a:ext cx="2800350" cy="8667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AU" sz="12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T20 Profit Calculation With Program</a:t>
                  </a:r>
                </a:p>
              </xdr:txBody>
            </xdr:sp>
            <xdr:sp macro="" textlink="">
              <xdr:nvSpPr>
                <xdr:cNvPr id="2066" name="Button 18" hidden="1">
                  <a:extLst>
                    <a:ext uri="{63B3BB69-23CF-44E3-9099-C40C66FF867C}">
                      <a14:compatExt spid="_x0000_s2066"/>
                    </a:ext>
                    <a:ext uri="{FF2B5EF4-FFF2-40B4-BE49-F238E27FC236}">
                      <a16:creationId xmlns:a16="http://schemas.microsoft.com/office/drawing/2014/main" id="{00000000-0008-0000-0100-000012080000}"/>
                    </a:ext>
                  </a:extLst>
                </xdr:cNvPr>
                <xdr:cNvSpPr/>
              </xdr:nvSpPr>
              <xdr:spPr bwMode="auto">
                <a:xfrm>
                  <a:off x="10010775" y="2028826"/>
                  <a:ext cx="2800350" cy="8667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AU" sz="12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SPWL Profit Calculation With Program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422275</xdr:colOff>
      <xdr:row>3</xdr:row>
      <xdr:rowOff>142477</xdr:rowOff>
    </xdr:from>
    <xdr:to>
      <xdr:col>25</xdr:col>
      <xdr:colOff>504828</xdr:colOff>
      <xdr:row>22</xdr:row>
      <xdr:rowOff>20637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517524</xdr:colOff>
      <xdr:row>26</xdr:row>
      <xdr:rowOff>25795</xdr:rowOff>
    </xdr:from>
    <xdr:to>
      <xdr:col>25</xdr:col>
      <xdr:colOff>377825</xdr:colOff>
      <xdr:row>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615950</xdr:colOff>
      <xdr:row>48</xdr:row>
      <xdr:rowOff>114300</xdr:rowOff>
    </xdr:from>
    <xdr:to>
      <xdr:col>25</xdr:col>
      <xdr:colOff>495300</xdr:colOff>
      <xdr:row>66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778817</xdr:colOff>
      <xdr:row>4</xdr:row>
      <xdr:rowOff>109687</xdr:rowOff>
    </xdr:from>
    <xdr:to>
      <xdr:col>24</xdr:col>
      <xdr:colOff>6174</xdr:colOff>
      <xdr:row>29</xdr:row>
      <xdr:rowOff>10290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786106</xdr:colOff>
      <xdr:row>30</xdr:row>
      <xdr:rowOff>111094</xdr:rowOff>
    </xdr:from>
    <xdr:to>
      <xdr:col>24</xdr:col>
      <xdr:colOff>53211</xdr:colOff>
      <xdr:row>50</xdr:row>
      <xdr:rowOff>142139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35719</xdr:colOff>
      <xdr:row>3</xdr:row>
      <xdr:rowOff>170258</xdr:rowOff>
    </xdr:from>
    <xdr:to>
      <xdr:col>18</xdr:col>
      <xdr:colOff>166688</xdr:colOff>
      <xdr:row>25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elissa Renard" id="{7722BCC2-8C0A-D849-AB8E-4A15B4B3E85A}" userId="S::z5565738@ad.unsw.edu.au::ce7f1953-321b-4b26-96ec-84321332d9b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9" dT="2024-03-15T09:37:34.57" personId="{7722BCC2-8C0A-D849-AB8E-4A15B4B3E85A}" id="{6CE531DE-F652-7944-A5F5-D109275F9BFB}">
    <text>CAPM</text>
  </threadedComment>
  <threadedComment ref="B10" dT="2024-03-15T09:38:38.69" personId="{7722BCC2-8C0A-D849-AB8E-4A15B4B3E85A}" id="{0145C206-123A-1642-A265-EF28D0800102}">
    <text>Regulators require low-risk investments for life insurers.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C376E-44C5-B440-9389-A6EE818FCFB4}">
  <sheetPr codeName="Sheet1"/>
  <dimension ref="A1:C19"/>
  <sheetViews>
    <sheetView showGridLines="0" zoomScaleNormal="100" workbookViewId="0">
      <selection activeCell="E6" sqref="E6"/>
    </sheetView>
  </sheetViews>
  <sheetFormatPr defaultColWidth="11" defaultRowHeight="15.75"/>
  <cols>
    <col min="1" max="1" width="2.375" customWidth="1"/>
    <col min="2" max="2" width="21" customWidth="1"/>
  </cols>
  <sheetData>
    <row r="1" spans="1:3" ht="24">
      <c r="A1" s="3" t="s">
        <v>0</v>
      </c>
    </row>
    <row r="2" spans="1:3">
      <c r="B2" t="s">
        <v>1</v>
      </c>
      <c r="C2" t="s">
        <v>2</v>
      </c>
    </row>
    <row r="3" spans="1:3">
      <c r="B3" t="s">
        <v>3</v>
      </c>
      <c r="C3" t="s">
        <v>4</v>
      </c>
    </row>
    <row r="4" spans="1:3">
      <c r="B4" t="s">
        <v>5</v>
      </c>
    </row>
    <row r="5" spans="1:3">
      <c r="B5" t="s">
        <v>6</v>
      </c>
    </row>
    <row r="6" spans="1:3">
      <c r="B6" t="s">
        <v>7</v>
      </c>
    </row>
    <row r="8" spans="1:3" ht="20.25" thickBot="1">
      <c r="A8" s="4" t="s">
        <v>8</v>
      </c>
      <c r="B8" s="4"/>
    </row>
    <row r="9" spans="1:3" ht="17.25" thickTop="1" thickBot="1"/>
    <row r="10" spans="1:3">
      <c r="B10" s="251" t="s">
        <v>9</v>
      </c>
      <c r="C10" s="31" t="s">
        <v>10</v>
      </c>
    </row>
    <row r="11" spans="1:3" ht="16.5" thickBot="1">
      <c r="B11" s="252"/>
      <c r="C11" s="31" t="s">
        <v>11</v>
      </c>
    </row>
    <row r="12" spans="1:3" ht="16.5" thickBot="1"/>
    <row r="13" spans="1:3">
      <c r="B13" s="253" t="s">
        <v>12</v>
      </c>
      <c r="C13" s="31" t="s">
        <v>13</v>
      </c>
    </row>
    <row r="14" spans="1:3">
      <c r="B14" s="254"/>
      <c r="C14" s="31" t="s">
        <v>14</v>
      </c>
    </row>
    <row r="15" spans="1:3" ht="16.5" thickBot="1">
      <c r="B15" s="255"/>
      <c r="C15" s="31" t="s">
        <v>15</v>
      </c>
    </row>
    <row r="16" spans="1:3" ht="16.5" thickBot="1"/>
    <row r="17" spans="2:3">
      <c r="B17" s="256" t="s">
        <v>16</v>
      </c>
      <c r="C17" s="31" t="s">
        <v>17</v>
      </c>
    </row>
    <row r="18" spans="2:3">
      <c r="B18" s="257"/>
      <c r="C18" s="31" t="s">
        <v>18</v>
      </c>
    </row>
    <row r="19" spans="2:3" ht="16.5" thickBot="1">
      <c r="B19" s="258"/>
      <c r="C19" s="31" t="s">
        <v>19</v>
      </c>
    </row>
  </sheetData>
  <mergeCells count="3">
    <mergeCell ref="B10:B11"/>
    <mergeCell ref="B13:B15"/>
    <mergeCell ref="B17:B19"/>
  </mergeCells>
  <hyperlinks>
    <hyperlink ref="C10" location="'Inputs &amp; Results'!A1" display="Inputs &amp; Results" xr:uid="{BCE60098-7E92-4958-B2B2-E166F02F280D}"/>
    <hyperlink ref="C11" location="Sensitivity!A1" display="Sensitivity Analysis" xr:uid="{4401CE9B-44F1-4347-A68B-7CD97869E8DC}"/>
    <hyperlink ref="C13" location="'Interest Rates'!A1" display="Interest Rates" xr:uid="{4D98DA0F-C341-4EF7-B152-B3024D9F589F}"/>
    <hyperlink ref="C14" location="'Mortality Rates'!A1" display="Mortality Rates" xr:uid="{A574AACC-E334-4DB7-ADB4-E959E6F03DE5}"/>
    <hyperlink ref="C15" location="'Lapse Rates'!A1" display="Lapse Rates" xr:uid="{A0E1282D-66B7-4718-A8E7-7E78D895078C}"/>
    <hyperlink ref="C17" location="'T20'!A1" display="20-year Term Insurance" xr:uid="{22A324D6-7380-4882-B268-604F48A84590}"/>
    <hyperlink ref="C18" location="SPWL!A1" display="Single Premium Whole Life Insurance" xr:uid="{38D2A6A9-1BCF-4493-8D32-DFCD6A97B742}"/>
    <hyperlink ref="C19" location="Premiums!A1" display="Premiums &amp; Profits" xr:uid="{940B059D-8467-4088-9180-199F227A865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257F0-F7B6-F74C-AAFD-83CD6590AD67}">
  <sheetPr codeName="Sheet2">
    <tabColor theme="6"/>
  </sheetPr>
  <dimension ref="A1:S36"/>
  <sheetViews>
    <sheetView showGridLines="0" zoomScale="80" zoomScaleNormal="80" workbookViewId="0">
      <selection activeCell="A26" sqref="A26:C36"/>
    </sheetView>
  </sheetViews>
  <sheetFormatPr defaultColWidth="11" defaultRowHeight="15.75"/>
  <cols>
    <col min="1" max="1" width="37.125" bestFit="1" customWidth="1"/>
    <col min="2" max="2" width="14.5" bestFit="1" customWidth="1"/>
    <col min="3" max="3" width="11.375" bestFit="1" customWidth="1"/>
  </cols>
  <sheetData>
    <row r="1" spans="1:19" s="259" customFormat="1" ht="16.5" thickBot="1">
      <c r="A1" s="259" t="s">
        <v>8</v>
      </c>
    </row>
    <row r="2" spans="1:19" ht="24">
      <c r="A2" s="3" t="s">
        <v>10</v>
      </c>
      <c r="F2" s="260" t="s">
        <v>20</v>
      </c>
      <c r="G2" s="261"/>
      <c r="H2" s="261"/>
      <c r="I2" s="261"/>
      <c r="J2" s="186"/>
      <c r="K2" s="261" t="s">
        <v>21</v>
      </c>
      <c r="L2" s="261"/>
      <c r="M2" s="261"/>
      <c r="N2" s="262"/>
      <c r="P2" s="118"/>
      <c r="Q2" s="118"/>
      <c r="R2" s="118"/>
      <c r="S2" s="118"/>
    </row>
    <row r="3" spans="1:19">
      <c r="F3" s="182"/>
      <c r="N3" s="181"/>
      <c r="P3" s="167"/>
      <c r="Q3" s="167"/>
      <c r="R3" s="167"/>
      <c r="S3" s="167"/>
    </row>
    <row r="4" spans="1:19" ht="20.25" thickBot="1">
      <c r="A4" s="4" t="s">
        <v>22</v>
      </c>
      <c r="B4" s="4"/>
      <c r="F4" s="182"/>
      <c r="N4" s="181"/>
      <c r="P4" s="167"/>
      <c r="Q4" s="167"/>
      <c r="R4" s="167"/>
      <c r="S4" s="167"/>
    </row>
    <row r="5" spans="1:19" ht="16.5" thickTop="1">
      <c r="A5" t="s">
        <v>23</v>
      </c>
      <c r="B5" s="5">
        <v>0.02</v>
      </c>
      <c r="F5" s="182"/>
      <c r="N5" s="181"/>
      <c r="P5" s="167"/>
      <c r="Q5" s="167"/>
      <c r="R5" s="167"/>
      <c r="S5" s="167"/>
    </row>
    <row r="6" spans="1:19">
      <c r="A6" t="s">
        <v>24</v>
      </c>
      <c r="B6" s="5">
        <v>2.5000000000000001E-2</v>
      </c>
      <c r="F6" s="182"/>
      <c r="N6" s="181"/>
      <c r="P6" s="167"/>
      <c r="Q6" s="167"/>
      <c r="R6" s="167"/>
      <c r="S6" s="167"/>
    </row>
    <row r="7" spans="1:19">
      <c r="A7" t="s">
        <v>25</v>
      </c>
      <c r="B7" s="6">
        <v>0.98</v>
      </c>
      <c r="F7" s="182"/>
      <c r="N7" s="181"/>
    </row>
    <row r="8" spans="1:19">
      <c r="A8" t="s">
        <v>26</v>
      </c>
      <c r="B8" s="5">
        <v>0.11</v>
      </c>
      <c r="F8" s="182"/>
      <c r="N8" s="181"/>
    </row>
    <row r="9" spans="1:19">
      <c r="A9" t="s">
        <v>27</v>
      </c>
      <c r="B9" s="7">
        <f>B6+B7*(B8-B6)</f>
        <v>0.10829999999999998</v>
      </c>
      <c r="F9" s="182"/>
      <c r="N9" s="181"/>
    </row>
    <row r="10" spans="1:19">
      <c r="A10" t="s">
        <v>28</v>
      </c>
      <c r="B10" s="7">
        <f>B6+0.02</f>
        <v>4.4999999999999998E-2</v>
      </c>
      <c r="F10" s="182"/>
      <c r="N10" s="181"/>
    </row>
    <row r="11" spans="1:19">
      <c r="F11" s="182"/>
      <c r="N11" s="181"/>
    </row>
    <row r="12" spans="1:19">
      <c r="A12" s="118" t="s">
        <v>29</v>
      </c>
      <c r="F12" s="182"/>
      <c r="N12" s="181"/>
    </row>
    <row r="13" spans="1:19">
      <c r="A13" t="s">
        <v>30</v>
      </c>
      <c r="B13" s="115">
        <f>2177.5</f>
        <v>2177.5</v>
      </c>
      <c r="F13" s="182"/>
      <c r="N13" s="181"/>
    </row>
    <row r="14" spans="1:19">
      <c r="A14" t="s">
        <v>31</v>
      </c>
      <c r="B14" s="116">
        <f>575</f>
        <v>575</v>
      </c>
      <c r="F14" s="182"/>
      <c r="N14" s="181"/>
    </row>
    <row r="15" spans="1:19" ht="16.5" thickBot="1">
      <c r="A15" t="s">
        <v>32</v>
      </c>
      <c r="B15" s="115">
        <f>28.75</f>
        <v>28.75</v>
      </c>
      <c r="F15" s="183"/>
      <c r="G15" s="184"/>
      <c r="H15" s="184"/>
      <c r="I15" s="184"/>
      <c r="J15" s="184"/>
      <c r="K15" s="184"/>
      <c r="L15" s="184"/>
      <c r="M15" s="184"/>
      <c r="N15" s="185"/>
    </row>
    <row r="17" spans="1:14">
      <c r="A17" s="118" t="s">
        <v>33</v>
      </c>
    </row>
    <row r="18" spans="1:14" ht="16.5" thickBot="1">
      <c r="A18" t="s">
        <v>34</v>
      </c>
      <c r="B18" s="117">
        <v>0.25</v>
      </c>
    </row>
    <row r="19" spans="1:14">
      <c r="A19" t="s">
        <v>35</v>
      </c>
      <c r="B19" s="117">
        <v>0.05</v>
      </c>
      <c r="F19" s="263" t="s">
        <v>11</v>
      </c>
      <c r="G19" s="264"/>
      <c r="H19" s="264"/>
      <c r="I19" s="264"/>
      <c r="J19" s="264"/>
      <c r="K19" s="264"/>
      <c r="L19" s="264"/>
      <c r="M19" s="264"/>
      <c r="N19" s="265"/>
    </row>
    <row r="20" spans="1:14">
      <c r="A20" t="s">
        <v>36</v>
      </c>
      <c r="B20" s="117">
        <v>0.03</v>
      </c>
      <c r="F20" s="180" t="s">
        <v>37</v>
      </c>
      <c r="N20" s="181"/>
    </row>
    <row r="21" spans="1:14">
      <c r="F21" s="180"/>
      <c r="N21" s="181"/>
    </row>
    <row r="22" spans="1:14">
      <c r="A22" t="s">
        <v>38</v>
      </c>
      <c r="B22" s="176">
        <v>1</v>
      </c>
      <c r="F22" s="266" t="s">
        <v>21</v>
      </c>
      <c r="G22" s="267"/>
      <c r="H22" s="267"/>
      <c r="I22" s="267"/>
      <c r="K22" s="267" t="s">
        <v>39</v>
      </c>
      <c r="L22" s="267"/>
      <c r="M22" s="267"/>
      <c r="N22" s="268"/>
    </row>
    <row r="23" spans="1:14">
      <c r="F23" s="182"/>
      <c r="N23" s="181"/>
    </row>
    <row r="24" spans="1:14" ht="20.25" thickBot="1">
      <c r="A24" s="4" t="s">
        <v>9</v>
      </c>
      <c r="B24" s="4"/>
      <c r="F24" s="182"/>
      <c r="N24" s="181"/>
    </row>
    <row r="25" spans="1:14" ht="17.25" thickTop="1" thickBot="1">
      <c r="F25" s="182"/>
      <c r="N25" s="181"/>
    </row>
    <row r="26" spans="1:14" ht="16.5" thickBot="1">
      <c r="A26" s="171" t="s">
        <v>40</v>
      </c>
      <c r="B26" s="188" t="s">
        <v>41</v>
      </c>
      <c r="C26" s="188" t="s">
        <v>42</v>
      </c>
      <c r="F26" s="182"/>
      <c r="N26" s="181"/>
    </row>
    <row r="27" spans="1:14">
      <c r="A27" s="172" t="s">
        <v>43</v>
      </c>
      <c r="B27" s="189">
        <f>Premiums!G79</f>
        <v>1096892720.835537</v>
      </c>
      <c r="C27" s="190">
        <f>Premiums!H79</f>
        <v>7.99979495677378E-2</v>
      </c>
      <c r="F27" s="182"/>
      <c r="N27" s="181"/>
    </row>
    <row r="28" spans="1:14" ht="16.5" thickBot="1">
      <c r="A28" s="170" t="s">
        <v>44</v>
      </c>
      <c r="B28" s="191">
        <f>Premiums!I79</f>
        <v>2515857141.9705505</v>
      </c>
      <c r="C28" s="192">
        <f>Premiums!J79</f>
        <v>5.6109313620601925E-2</v>
      </c>
      <c r="F28" s="182"/>
      <c r="N28" s="181"/>
    </row>
    <row r="29" spans="1:14" ht="16.5" thickBot="1">
      <c r="B29" s="193"/>
      <c r="C29" s="193"/>
      <c r="F29" s="182"/>
      <c r="N29" s="181"/>
    </row>
    <row r="30" spans="1:14" ht="16.5" thickBot="1">
      <c r="A30" s="171" t="s">
        <v>45</v>
      </c>
      <c r="B30" s="188" t="s">
        <v>41</v>
      </c>
      <c r="C30" s="188" t="s">
        <v>42</v>
      </c>
      <c r="F30" s="182"/>
      <c r="N30" s="181"/>
    </row>
    <row r="31" spans="1:14">
      <c r="A31" s="172" t="s">
        <v>43</v>
      </c>
      <c r="B31" s="189">
        <f>Premiums!M79</f>
        <v>320091403.84899867</v>
      </c>
      <c r="C31" s="190">
        <f>Premiums!N79</f>
        <v>7.9999987114234075E-2</v>
      </c>
      <c r="F31" s="182"/>
      <c r="N31" s="181"/>
    </row>
    <row r="32" spans="1:14" ht="16.5" thickBot="1">
      <c r="A32" s="170" t="s">
        <v>44</v>
      </c>
      <c r="B32" s="191">
        <f>Premiums!O79</f>
        <v>2511137839.2851748</v>
      </c>
      <c r="C32" s="192">
        <f>Premiums!P79</f>
        <v>0.83432789416465669</v>
      </c>
      <c r="F32" s="182"/>
      <c r="N32" s="181"/>
    </row>
    <row r="33" spans="1:14" ht="16.5" thickBot="1">
      <c r="B33" s="193"/>
      <c r="C33" s="193"/>
      <c r="F33" s="182"/>
      <c r="N33" s="181"/>
    </row>
    <row r="34" spans="1:14" ht="16.5" thickBot="1">
      <c r="A34" s="173" t="s">
        <v>46</v>
      </c>
      <c r="B34" s="194" t="s">
        <v>41</v>
      </c>
      <c r="C34" s="194" t="s">
        <v>42</v>
      </c>
      <c r="F34" s="182"/>
      <c r="N34" s="181"/>
    </row>
    <row r="35" spans="1:14" ht="16.5" thickBot="1">
      <c r="A35" s="172" t="s">
        <v>43</v>
      </c>
      <c r="B35" s="189">
        <f>SUM(B27,B31)</f>
        <v>1416984124.6845355</v>
      </c>
      <c r="C35" s="190">
        <f>Premiums!C81</f>
        <v>7.9998722431926531E-2</v>
      </c>
      <c r="F35" s="183"/>
      <c r="G35" s="184"/>
      <c r="H35" s="184"/>
      <c r="I35" s="184"/>
      <c r="J35" s="184"/>
      <c r="K35" s="184"/>
      <c r="L35" s="184"/>
      <c r="M35" s="184"/>
      <c r="N35" s="185"/>
    </row>
    <row r="36" spans="1:14" ht="16.5" thickBot="1">
      <c r="A36" s="170" t="s">
        <v>44</v>
      </c>
      <c r="B36" s="191">
        <f>SUM(B28,B32)</f>
        <v>5026994981.2557259</v>
      </c>
      <c r="C36" s="192">
        <f>Premiums!C82</f>
        <v>0.35129633045971304</v>
      </c>
    </row>
  </sheetData>
  <mergeCells count="6">
    <mergeCell ref="A1:XFD1"/>
    <mergeCell ref="F2:I2"/>
    <mergeCell ref="K2:N2"/>
    <mergeCell ref="F19:N19"/>
    <mergeCell ref="F22:I22"/>
    <mergeCell ref="K22:N22"/>
  </mergeCells>
  <hyperlinks>
    <hyperlink ref="A1" location="Contents!A1" display="Back to Contents" xr:uid="{E44250E9-A593-1145-9CA0-B4DD039FB9AA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20_NoProgram">
                <anchor moveWithCells="1" sizeWithCells="1">
                  <from>
                    <xdr:col>5</xdr:col>
                    <xdr:colOff>95250</xdr:colOff>
                    <xdr:row>2</xdr:row>
                    <xdr:rowOff>104775</xdr:rowOff>
                  </from>
                  <to>
                    <xdr:col>8</xdr:col>
                    <xdr:colOff>733425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PWL_NoProgram">
                <anchor moveWithCells="1" sizeWithCells="1">
                  <from>
                    <xdr:col>5</xdr:col>
                    <xdr:colOff>85725</xdr:colOff>
                    <xdr:row>9</xdr:row>
                    <xdr:rowOff>133350</xdr:rowOff>
                  </from>
                  <to>
                    <xdr:col>8</xdr:col>
                    <xdr:colOff>742950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20_WithProgram">
                <anchor moveWithCells="1" sizeWithCells="1">
                  <from>
                    <xdr:col>10</xdr:col>
                    <xdr:colOff>66675</xdr:colOff>
                    <xdr:row>2</xdr:row>
                    <xdr:rowOff>95250</xdr:rowOff>
                  </from>
                  <to>
                    <xdr:col>13</xdr:col>
                    <xdr:colOff>714375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PWL_WithProgram">
                <anchor moveWithCells="1" sizeWithCells="1">
                  <from>
                    <xdr:col>10</xdr:col>
                    <xdr:colOff>66675</xdr:colOff>
                    <xdr:row>9</xdr:row>
                    <xdr:rowOff>142875</xdr:rowOff>
                  </from>
                  <to>
                    <xdr:col>13</xdr:col>
                    <xdr:colOff>714375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Button 15">
              <controlPr defaultSize="0" print="0" autoFill="0" autoPict="0" macro="[0]!T20_NoProgram_Sensitivity">
                <anchor moveWithCells="1" sizeWithCells="1">
                  <from>
                    <xdr:col>5</xdr:col>
                    <xdr:colOff>95250</xdr:colOff>
                    <xdr:row>22</xdr:row>
                    <xdr:rowOff>180975</xdr:rowOff>
                  </from>
                  <to>
                    <xdr:col>8</xdr:col>
                    <xdr:colOff>733425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Button 16">
              <controlPr defaultSize="0" print="0" autoFill="0" autoPict="0" macro="[0]!SPWL_NoProgram_Sensitivity">
                <anchor moveWithCells="1" sizeWithCells="1">
                  <from>
                    <xdr:col>5</xdr:col>
                    <xdr:colOff>95250</xdr:colOff>
                    <xdr:row>29</xdr:row>
                    <xdr:rowOff>171450</xdr:rowOff>
                  </from>
                  <to>
                    <xdr:col>8</xdr:col>
                    <xdr:colOff>752475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0" name="Button 17">
              <controlPr defaultSize="0" print="0" autoFill="0" autoPict="0" macro="[0]!T20_WithProgram">
                <anchor moveWithCells="1" sizeWithCells="1">
                  <from>
                    <xdr:col>10</xdr:col>
                    <xdr:colOff>66675</xdr:colOff>
                    <xdr:row>22</xdr:row>
                    <xdr:rowOff>171450</xdr:rowOff>
                  </from>
                  <to>
                    <xdr:col>13</xdr:col>
                    <xdr:colOff>723900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1" name="Button 18">
              <controlPr defaultSize="0" print="0" autoFill="0" autoPict="0" macro="[0]!SPWL_WithProgram">
                <anchor moveWithCells="1" sizeWithCells="1">
                  <from>
                    <xdr:col>10</xdr:col>
                    <xdr:colOff>66675</xdr:colOff>
                    <xdr:row>29</xdr:row>
                    <xdr:rowOff>190500</xdr:rowOff>
                  </from>
                  <to>
                    <xdr:col>13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11A78-3123-4248-B5A3-A73712DA3B13}">
  <sheetPr codeName="Sheet8">
    <tabColor theme="6"/>
  </sheetPr>
  <dimension ref="A1:M88"/>
  <sheetViews>
    <sheetView showGridLines="0" tabSelected="1" topLeftCell="A26" zoomScale="80" zoomScaleNormal="80" workbookViewId="0">
      <selection activeCell="A57" sqref="A57:C59"/>
    </sheetView>
  </sheetViews>
  <sheetFormatPr defaultColWidth="8.875" defaultRowHeight="15.75"/>
  <cols>
    <col min="1" max="1" width="28.125" bestFit="1" customWidth="1"/>
    <col min="2" max="2" width="16.125" customWidth="1"/>
    <col min="3" max="3" width="13.125" customWidth="1"/>
  </cols>
  <sheetData>
    <row r="1" spans="1:3" s="259" customFormat="1">
      <c r="A1" s="259" t="s">
        <v>8</v>
      </c>
    </row>
    <row r="2" spans="1:3" ht="24">
      <c r="A2" s="3" t="s">
        <v>11</v>
      </c>
    </row>
    <row r="3" spans="1:3" ht="20.25" thickBot="1">
      <c r="A3" s="4" t="s">
        <v>47</v>
      </c>
    </row>
    <row r="4" spans="1:3" ht="18.75" thickTop="1" thickBot="1">
      <c r="A4" s="169" t="s">
        <v>48</v>
      </c>
    </row>
    <row r="5" spans="1:3" ht="17.25" thickTop="1" thickBot="1"/>
    <row r="6" spans="1:3" ht="16.5" thickBot="1">
      <c r="A6" s="171" t="s">
        <v>40</v>
      </c>
      <c r="B6" s="188" t="s">
        <v>41</v>
      </c>
      <c r="C6" s="188" t="s">
        <v>42</v>
      </c>
    </row>
    <row r="7" spans="1:3">
      <c r="A7" s="172" t="s">
        <v>43</v>
      </c>
      <c r="B7" s="189">
        <v>584444412.29398549</v>
      </c>
      <c r="C7" s="190">
        <v>5.2462276221973518E-2</v>
      </c>
    </row>
    <row r="8" spans="1:3" ht="16.5" thickBot="1">
      <c r="A8" s="170" t="s">
        <v>44</v>
      </c>
      <c r="B8" s="191">
        <v>2242645915.5512009</v>
      </c>
      <c r="C8" s="192">
        <v>3.1979770016644794E-2</v>
      </c>
    </row>
    <row r="9" spans="1:3" ht="16.5" thickBot="1">
      <c r="B9" s="193"/>
      <c r="C9" s="193"/>
    </row>
    <row r="10" spans="1:3" ht="16.5" thickBot="1">
      <c r="A10" s="171" t="s">
        <v>45</v>
      </c>
      <c r="B10" s="188" t="s">
        <v>41</v>
      </c>
      <c r="C10" s="188" t="s">
        <v>42</v>
      </c>
    </row>
    <row r="11" spans="1:3">
      <c r="A11" s="172" t="s">
        <v>43</v>
      </c>
      <c r="B11" s="189">
        <v>-1123787596.3381462</v>
      </c>
      <c r="C11" s="190">
        <v>-0.61122199318831849</v>
      </c>
    </row>
    <row r="12" spans="1:3" ht="16.5" thickBot="1">
      <c r="A12" s="170" t="s">
        <v>44</v>
      </c>
      <c r="B12" s="191">
        <v>1312275288.8535767</v>
      </c>
      <c r="C12" s="192">
        <v>0.198401826303751</v>
      </c>
    </row>
    <row r="13" spans="1:3" ht="16.5" thickBot="1">
      <c r="B13" s="193"/>
      <c r="C13" s="193"/>
    </row>
    <row r="14" spans="1:3" ht="16.5" thickBot="1">
      <c r="A14" s="173" t="s">
        <v>46</v>
      </c>
      <c r="B14" s="194" t="s">
        <v>41</v>
      </c>
      <c r="C14" s="194" t="s">
        <v>42</v>
      </c>
    </row>
    <row r="15" spans="1:3">
      <c r="A15" s="172" t="s">
        <v>43</v>
      </c>
      <c r="B15" s="189">
        <v>-539343184.04416072</v>
      </c>
      <c r="C15" s="190">
        <v>-0.19928059462198289</v>
      </c>
    </row>
    <row r="16" spans="1:3" ht="16.5" thickBot="1">
      <c r="A16" s="170" t="s">
        <v>44</v>
      </c>
      <c r="B16" s="191">
        <v>3554921204.4047775</v>
      </c>
      <c r="C16" s="192">
        <v>9.5105518437194808E-2</v>
      </c>
    </row>
    <row r="18" spans="1:3" ht="18" thickBot="1">
      <c r="A18" s="169" t="s">
        <v>49</v>
      </c>
    </row>
    <row r="19" spans="1:3" ht="17.25" thickTop="1" thickBot="1"/>
    <row r="20" spans="1:3" ht="16.5" thickBot="1">
      <c r="A20" s="171" t="s">
        <v>40</v>
      </c>
      <c r="B20" s="188" t="s">
        <v>41</v>
      </c>
      <c r="C20" s="188" t="s">
        <v>42</v>
      </c>
    </row>
    <row r="21" spans="1:3">
      <c r="A21" s="172" t="s">
        <v>43</v>
      </c>
      <c r="B21" s="189">
        <v>1721102038.3448329</v>
      </c>
      <c r="C21" s="190">
        <v>0.15456746377419456</v>
      </c>
    </row>
    <row r="22" spans="1:3" ht="16.5" thickBot="1">
      <c r="A22" s="170" t="s">
        <v>44</v>
      </c>
      <c r="B22" s="191">
        <v>3195718549.6113429</v>
      </c>
      <c r="C22" s="192">
        <v>0.11637034071541255</v>
      </c>
    </row>
    <row r="23" spans="1:3" ht="16.5" thickBot="1">
      <c r="B23" s="193"/>
      <c r="C23" s="193"/>
    </row>
    <row r="24" spans="1:3" ht="16.5" thickBot="1">
      <c r="A24" s="171" t="s">
        <v>45</v>
      </c>
      <c r="B24" s="188" t="s">
        <v>41</v>
      </c>
      <c r="C24" s="188" t="s">
        <v>42</v>
      </c>
    </row>
    <row r="25" spans="1:3">
      <c r="A25" s="172" t="s">
        <v>43</v>
      </c>
      <c r="B25" s="189">
        <v>3379395021.8263478</v>
      </c>
      <c r="C25" s="190">
        <v>1.7974234391661215</v>
      </c>
    </row>
    <row r="26" spans="1:3" ht="16.5" thickBot="1">
      <c r="A26" s="170" t="s">
        <v>44</v>
      </c>
      <c r="B26" s="191">
        <v>5125561100.0219898</v>
      </c>
      <c r="C26" s="192">
        <v>2.3597410743451603</v>
      </c>
    </row>
    <row r="27" spans="1:3" ht="16.5" thickBot="1">
      <c r="B27" s="193"/>
      <c r="C27" s="193"/>
    </row>
    <row r="28" spans="1:3" ht="16.5" thickBot="1">
      <c r="A28" s="173" t="s">
        <v>46</v>
      </c>
      <c r="B28" s="194" t="s">
        <v>41</v>
      </c>
      <c r="C28" s="194" t="s">
        <v>42</v>
      </c>
    </row>
    <row r="29" spans="1:3">
      <c r="A29" s="172" t="s">
        <v>43</v>
      </c>
      <c r="B29" s="189">
        <v>5100497060.1711807</v>
      </c>
      <c r="C29" s="190">
        <v>0.7777211208524174</v>
      </c>
    </row>
    <row r="30" spans="1:3" ht="16.5" thickBot="1">
      <c r="A30" s="170" t="s">
        <v>44</v>
      </c>
      <c r="B30" s="191">
        <v>8321279649.6333332</v>
      </c>
      <c r="C30" s="192">
        <v>0.96730596610407649</v>
      </c>
    </row>
    <row r="32" spans="1:3" ht="20.25" thickBot="1">
      <c r="A32" s="4" t="s">
        <v>50</v>
      </c>
    </row>
    <row r="33" spans="1:13" ht="18.75" thickTop="1" thickBot="1">
      <c r="A33" s="169" t="s">
        <v>51</v>
      </c>
    </row>
    <row r="34" spans="1:13" ht="17.25" thickTop="1" thickBot="1"/>
    <row r="35" spans="1:13" ht="16.5" thickBot="1">
      <c r="A35" s="171" t="s">
        <v>40</v>
      </c>
      <c r="B35" s="188" t="s">
        <v>41</v>
      </c>
      <c r="C35" s="188" t="s">
        <v>42</v>
      </c>
      <c r="M35">
        <f ca="1">0.9*95</f>
        <v>85.5</v>
      </c>
    </row>
    <row r="36" spans="1:13">
      <c r="A36" s="172" t="s">
        <v>43</v>
      </c>
      <c r="B36" s="189">
        <v>910287752.26254475</v>
      </c>
      <c r="C36" s="190">
        <v>8.1657838302981428E-2</v>
      </c>
    </row>
    <row r="37" spans="1:13" ht="16.5" thickBot="1">
      <c r="A37" s="170" t="s">
        <v>44</v>
      </c>
      <c r="B37" s="191">
        <v>1643043528.0104079</v>
      </c>
      <c r="C37" s="192">
        <v>-2.3027758065485165E-2</v>
      </c>
    </row>
    <row r="38" spans="1:13" ht="16.5" thickBot="1">
      <c r="B38" s="193"/>
      <c r="C38" s="193"/>
    </row>
    <row r="39" spans="1:13" ht="16.5" thickBot="1">
      <c r="A39" s="171" t="s">
        <v>45</v>
      </c>
      <c r="B39" s="188" t="s">
        <v>41</v>
      </c>
      <c r="C39" s="188" t="s">
        <v>42</v>
      </c>
    </row>
    <row r="40" spans="1:13">
      <c r="A40" s="172" t="s">
        <v>43</v>
      </c>
      <c r="B40" s="189">
        <v>168458477.33817542</v>
      </c>
      <c r="C40" s="190">
        <v>8.0000005286744683E-2</v>
      </c>
    </row>
    <row r="41" spans="1:13" ht="16.5" thickBot="1">
      <c r="A41" s="170" t="s">
        <v>44</v>
      </c>
      <c r="B41" s="191">
        <v>1768622805.2609558</v>
      </c>
      <c r="C41" s="192">
        <v>0.37215201771750855</v>
      </c>
    </row>
    <row r="42" spans="1:13" ht="16.5" thickBot="1">
      <c r="B42" s="193"/>
      <c r="C42" s="193"/>
    </row>
    <row r="43" spans="1:13" ht="16.5" thickBot="1">
      <c r="A43" s="173" t="s">
        <v>46</v>
      </c>
      <c r="B43" s="194" t="s">
        <v>41</v>
      </c>
      <c r="C43" s="194" t="s">
        <v>42</v>
      </c>
    </row>
    <row r="44" spans="1:13">
      <c r="A44" s="172" t="s">
        <v>43</v>
      </c>
      <c r="B44" s="189">
        <v>1078746229.6007202</v>
      </c>
      <c r="C44" s="190">
        <v>8.102900368669895E-2</v>
      </c>
    </row>
    <row r="45" spans="1:13" ht="16.5" thickBot="1">
      <c r="A45" s="170" t="s">
        <v>44</v>
      </c>
      <c r="B45" s="191">
        <v>3411666333.2713637</v>
      </c>
      <c r="C45" s="192">
        <v>0.1268683534447014</v>
      </c>
    </row>
    <row r="47" spans="1:13" ht="18" thickBot="1">
      <c r="A47" s="169" t="s">
        <v>52</v>
      </c>
    </row>
    <row r="48" spans="1:13" ht="17.25" thickTop="1" thickBot="1"/>
    <row r="49" spans="1:3" ht="16.5" thickBot="1">
      <c r="A49" s="171" t="s">
        <v>40</v>
      </c>
      <c r="B49" s="188" t="s">
        <v>41</v>
      </c>
      <c r="C49" s="188" t="s">
        <v>42</v>
      </c>
    </row>
    <row r="50" spans="1:3">
      <c r="A50" s="172" t="s">
        <v>43</v>
      </c>
      <c r="B50" s="189">
        <v>908979329.10876739</v>
      </c>
      <c r="C50" s="190">
        <v>8.049110130487426E-2</v>
      </c>
    </row>
    <row r="51" spans="1:3" ht="16.5" thickBot="1">
      <c r="A51" s="170" t="s">
        <v>44</v>
      </c>
      <c r="B51" s="191">
        <v>4771811598.1863518</v>
      </c>
      <c r="C51" s="192">
        <v>0.25460695285263468</v>
      </c>
    </row>
    <row r="52" spans="1:3" ht="16.5" thickBot="1">
      <c r="B52" s="193"/>
      <c r="C52" s="193"/>
    </row>
    <row r="53" spans="1:3" ht="16.5" thickBot="1">
      <c r="A53" s="171" t="s">
        <v>45</v>
      </c>
      <c r="B53" s="188" t="s">
        <v>41</v>
      </c>
      <c r="C53" s="188" t="s">
        <v>42</v>
      </c>
    </row>
    <row r="54" spans="1:3">
      <c r="A54" s="172" t="s">
        <v>43</v>
      </c>
      <c r="B54" s="189">
        <v>168458477.33817542</v>
      </c>
      <c r="C54" s="190">
        <v>8.0000005286744683E-2</v>
      </c>
    </row>
    <row r="55" spans="1:3" ht="16.5" thickBot="1">
      <c r="A55" s="170" t="s">
        <v>44</v>
      </c>
      <c r="B55" s="191">
        <v>5293269837.7714481</v>
      </c>
      <c r="C55" s="192">
        <v>2.2381732412996045</v>
      </c>
    </row>
    <row r="56" spans="1:3" ht="16.5" thickBot="1">
      <c r="B56" s="193"/>
      <c r="C56" s="193"/>
    </row>
    <row r="57" spans="1:3" ht="16.5" thickBot="1">
      <c r="A57" s="173" t="s">
        <v>46</v>
      </c>
      <c r="B57" s="194" t="s">
        <v>41</v>
      </c>
      <c r="C57" s="194" t="s">
        <v>42</v>
      </c>
    </row>
    <row r="58" spans="1:3">
      <c r="A58" s="172" t="s">
        <v>43</v>
      </c>
      <c r="B58" s="189">
        <v>1077437806.4469428</v>
      </c>
      <c r="C58" s="190">
        <v>8.0304823089219365E-2</v>
      </c>
    </row>
    <row r="59" spans="1:3" ht="16.5" thickBot="1">
      <c r="A59" s="170" t="s">
        <v>44</v>
      </c>
      <c r="B59" s="191">
        <v>10065081435.9578</v>
      </c>
      <c r="C59" s="192">
        <v>1.0069958446469534</v>
      </c>
    </row>
    <row r="61" spans="1:3" ht="20.25" thickBot="1">
      <c r="A61" s="4" t="s">
        <v>53</v>
      </c>
    </row>
    <row r="62" spans="1:3" ht="18.75" thickTop="1" thickBot="1">
      <c r="A62" s="169" t="s">
        <v>54</v>
      </c>
    </row>
    <row r="63" spans="1:3" ht="17.25" thickTop="1" thickBot="1"/>
    <row r="64" spans="1:3" ht="16.5" thickBot="1">
      <c r="A64" s="171" t="s">
        <v>40</v>
      </c>
      <c r="B64" s="188" t="s">
        <v>41</v>
      </c>
      <c r="C64" s="188" t="s">
        <v>42</v>
      </c>
    </row>
    <row r="65" spans="1:3">
      <c r="A65" s="172" t="s">
        <v>43</v>
      </c>
      <c r="B65" s="189">
        <v>918747026.29329002</v>
      </c>
      <c r="C65" s="190">
        <v>8.4866323208468555E-2</v>
      </c>
    </row>
    <row r="66" spans="1:3" ht="16.5" thickBot="1">
      <c r="A66" s="170" t="s">
        <v>44</v>
      </c>
      <c r="B66" s="191">
        <v>2539764707.0694318</v>
      </c>
      <c r="C66" s="192">
        <v>5.7695442973045505E-2</v>
      </c>
    </row>
    <row r="67" spans="1:3" ht="16.5" thickBot="1">
      <c r="B67" s="193"/>
      <c r="C67" s="193"/>
    </row>
    <row r="68" spans="1:3" ht="16.5" thickBot="1">
      <c r="A68" s="171" t="s">
        <v>45</v>
      </c>
      <c r="B68" s="188" t="s">
        <v>41</v>
      </c>
      <c r="C68" s="188" t="s">
        <v>42</v>
      </c>
    </row>
    <row r="69" spans="1:3">
      <c r="A69" s="172" t="s">
        <v>43</v>
      </c>
      <c r="B69" s="189">
        <v>168458477.33817542</v>
      </c>
      <c r="C69" s="190">
        <v>8.0000005286744683E-2</v>
      </c>
    </row>
    <row r="70" spans="1:3" ht="16.5" thickBot="1">
      <c r="A70" s="170" t="s">
        <v>44</v>
      </c>
      <c r="B70" s="191">
        <v>2757796737.5064592</v>
      </c>
      <c r="C70" s="192">
        <v>0.8712206715306452</v>
      </c>
    </row>
    <row r="71" spans="1:3" ht="16.5" thickBot="1">
      <c r="B71" s="193"/>
      <c r="C71" s="193"/>
    </row>
    <row r="72" spans="1:3" ht="16.5" thickBot="1">
      <c r="A72" s="173" t="s">
        <v>46</v>
      </c>
      <c r="B72" s="194" t="s">
        <v>41</v>
      </c>
      <c r="C72" s="194" t="s">
        <v>42</v>
      </c>
    </row>
    <row r="73" spans="1:3">
      <c r="A73" s="172" t="s">
        <v>43</v>
      </c>
      <c r="B73" s="189">
        <v>1087205503.6314654</v>
      </c>
      <c r="C73" s="190">
        <v>8.3020474360577856E-2</v>
      </c>
    </row>
    <row r="74" spans="1:3" ht="16.5" thickBot="1">
      <c r="A74" s="170" t="s">
        <v>44</v>
      </c>
      <c r="B74" s="191">
        <v>5297561444.5758915</v>
      </c>
      <c r="C74" s="192">
        <v>0.36627466652922164</v>
      </c>
    </row>
    <row r="76" spans="1:3" ht="18" thickBot="1">
      <c r="A76" s="169" t="s">
        <v>55</v>
      </c>
    </row>
    <row r="77" spans="1:3" ht="17.25" thickTop="1" thickBot="1"/>
    <row r="78" spans="1:3" ht="16.5" thickBot="1">
      <c r="A78" s="171" t="s">
        <v>40</v>
      </c>
      <c r="B78" s="188" t="s">
        <v>41</v>
      </c>
      <c r="C78" s="188" t="s">
        <v>42</v>
      </c>
    </row>
    <row r="79" spans="1:3">
      <c r="A79" s="172" t="s">
        <v>43</v>
      </c>
      <c r="B79" s="189">
        <v>905140240.35817146</v>
      </c>
      <c r="C79" s="190">
        <v>8.1371186164451076E-2</v>
      </c>
    </row>
    <row r="80" spans="1:3" ht="16.5" thickBot="1">
      <c r="A80" s="170" t="s">
        <v>44</v>
      </c>
      <c r="B80" s="191">
        <v>2492262625.3784547</v>
      </c>
      <c r="C80" s="192">
        <v>5.4520936044430861E-2</v>
      </c>
    </row>
    <row r="81" spans="1:3" ht="16.5" thickBot="1">
      <c r="B81" s="193"/>
      <c r="C81" s="193"/>
    </row>
    <row r="82" spans="1:3" ht="16.5" thickBot="1">
      <c r="A82" s="171" t="s">
        <v>45</v>
      </c>
      <c r="B82" s="188" t="s">
        <v>41</v>
      </c>
      <c r="C82" s="188" t="s">
        <v>42</v>
      </c>
    </row>
    <row r="83" spans="1:3">
      <c r="A83" s="172" t="s">
        <v>43</v>
      </c>
      <c r="B83" s="189">
        <v>168458477.33817542</v>
      </c>
      <c r="C83" s="190">
        <v>8.0000005286744683E-2</v>
      </c>
    </row>
    <row r="84" spans="1:3" ht="16.5" thickBot="1">
      <c r="A84" s="170" t="s">
        <v>44</v>
      </c>
      <c r="B84" s="191">
        <v>2511137839.2851748</v>
      </c>
      <c r="C84" s="192">
        <v>0.83432789416465669</v>
      </c>
    </row>
    <row r="85" spans="1:3" ht="16.5" thickBot="1">
      <c r="B85" s="193"/>
      <c r="C85" s="193"/>
    </row>
    <row r="86" spans="1:3" ht="16.5" thickBot="1">
      <c r="A86" s="173" t="s">
        <v>46</v>
      </c>
      <c r="B86" s="194" t="s">
        <v>41</v>
      </c>
      <c r="C86" s="194" t="s">
        <v>42</v>
      </c>
    </row>
    <row r="87" spans="1:3">
      <c r="A87" s="172" t="s">
        <v>43</v>
      </c>
      <c r="B87" s="189">
        <v>1073598717.6963469</v>
      </c>
      <c r="C87" s="190">
        <v>8.0851081912308928E-2</v>
      </c>
    </row>
    <row r="88" spans="1:3" ht="16.5" thickBot="1">
      <c r="A88" s="170" t="s">
        <v>44</v>
      </c>
      <c r="B88" s="191">
        <v>5003400464.6636295</v>
      </c>
      <c r="C88" s="192">
        <v>0.35031044227411434</v>
      </c>
    </row>
  </sheetData>
  <mergeCells count="1">
    <mergeCell ref="A1:XFD1"/>
  </mergeCells>
  <hyperlinks>
    <hyperlink ref="A1" location="'Table of Contents'!A1" display="Table of Contents" xr:uid="{F53F30CA-C0FC-4C40-8056-ACF948CAD3D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597A-B1FF-3F4B-B8AF-9BCD1941AC6E}">
  <sheetPr codeName="Sheet3">
    <tabColor theme="8"/>
  </sheetPr>
  <dimension ref="A1:N72"/>
  <sheetViews>
    <sheetView showGridLines="0" zoomScale="80" zoomScaleNormal="80" workbookViewId="0">
      <selection activeCell="G30" sqref="G30"/>
    </sheetView>
  </sheetViews>
  <sheetFormatPr defaultColWidth="11" defaultRowHeight="15.75"/>
  <cols>
    <col min="1" max="1" width="13" bestFit="1" customWidth="1"/>
    <col min="2" max="5" width="15.5" customWidth="1"/>
    <col min="7" max="7" width="14.875" bestFit="1" customWidth="1"/>
    <col min="9" max="9" width="15.875" bestFit="1" customWidth="1"/>
    <col min="10" max="10" width="12.125" bestFit="1" customWidth="1"/>
    <col min="12" max="12" width="13.375" bestFit="1" customWidth="1"/>
  </cols>
  <sheetData>
    <row r="1" spans="1:14" s="259" customFormat="1">
      <c r="A1" s="259" t="s">
        <v>8</v>
      </c>
    </row>
    <row r="2" spans="1:14" s="27" customFormat="1" ht="24">
      <c r="A2" s="81" t="s">
        <v>13</v>
      </c>
    </row>
    <row r="3" spans="1:14" s="27" customFormat="1"/>
    <row r="4" spans="1:14" ht="45">
      <c r="A4" s="11" t="s">
        <v>56</v>
      </c>
      <c r="B4" s="11" t="s">
        <v>23</v>
      </c>
      <c r="C4" s="12" t="s">
        <v>57</v>
      </c>
      <c r="D4" s="12" t="s">
        <v>58</v>
      </c>
      <c r="E4" s="12" t="s">
        <v>59</v>
      </c>
      <c r="G4" s="12" t="s">
        <v>56</v>
      </c>
      <c r="H4" s="12" t="s">
        <v>60</v>
      </c>
      <c r="I4" s="12" t="s">
        <v>61</v>
      </c>
      <c r="J4" s="12" t="s">
        <v>62</v>
      </c>
      <c r="L4" s="11" t="s">
        <v>56</v>
      </c>
      <c r="M4" s="12" t="s">
        <v>63</v>
      </c>
      <c r="N4" s="12" t="s">
        <v>64</v>
      </c>
    </row>
    <row r="5" spans="1:14">
      <c r="A5" s="19">
        <v>1962</v>
      </c>
      <c r="B5" s="13">
        <v>2.6673631999999999E-2</v>
      </c>
      <c r="C5" s="13">
        <v>3.0998218345205483E-2</v>
      </c>
      <c r="D5" s="13">
        <v>3.522354201348548E-2</v>
      </c>
      <c r="E5" s="13">
        <v>4.4910064186525482E-2</v>
      </c>
      <c r="G5" s="19">
        <v>2013</v>
      </c>
      <c r="H5" s="8"/>
      <c r="I5" s="8"/>
      <c r="J5" s="10">
        <v>1.2076175666666662</v>
      </c>
      <c r="L5" s="19">
        <v>1984</v>
      </c>
      <c r="M5" s="18">
        <v>179.63000500000001</v>
      </c>
      <c r="N5" s="8"/>
    </row>
    <row r="6" spans="1:14">
      <c r="A6" s="19">
        <v>1963</v>
      </c>
      <c r="B6" s="13">
        <v>2.3702668533333335E-2</v>
      </c>
      <c r="C6" s="13">
        <v>3.7781979178082202E-2</v>
      </c>
      <c r="D6" s="13">
        <v>3.9981264990762204E-2</v>
      </c>
      <c r="E6" s="13">
        <v>4.7524185853782201E-2</v>
      </c>
      <c r="G6" s="19">
        <v>2014</v>
      </c>
      <c r="H6" s="9">
        <v>1.04</v>
      </c>
      <c r="I6" s="8">
        <v>1.97</v>
      </c>
      <c r="J6" s="10">
        <v>1.036321026</v>
      </c>
      <c r="L6" s="19">
        <v>1985</v>
      </c>
      <c r="M6" s="18">
        <v>211.779999</v>
      </c>
      <c r="N6" s="17">
        <f>M6/M5-1</f>
        <v>0.17897897403053564</v>
      </c>
    </row>
    <row r="7" spans="1:14">
      <c r="A7" s="19">
        <v>1964</v>
      </c>
      <c r="B7" s="13">
        <v>2.6693036740740736E-2</v>
      </c>
      <c r="C7" s="13">
        <v>3.975202163934427E-2</v>
      </c>
      <c r="D7" s="13">
        <v>4.3855623817344272E-2</v>
      </c>
      <c r="E7" s="13">
        <v>4.7899577910064273E-2</v>
      </c>
      <c r="G7" s="19">
        <v>2015</v>
      </c>
      <c r="H7" s="9">
        <v>1.28</v>
      </c>
      <c r="I7" s="8">
        <v>1.73</v>
      </c>
      <c r="J7" s="10">
        <v>1.0895631139444877</v>
      </c>
      <c r="L7" s="19">
        <v>1986</v>
      </c>
      <c r="M7" s="18">
        <v>274.07998700000002</v>
      </c>
      <c r="N7" s="17">
        <f t="shared" ref="N7:N44" si="0">M7/M6-1</f>
        <v>0.29417314332879951</v>
      </c>
    </row>
    <row r="8" spans="1:14">
      <c r="A8" s="19">
        <v>1965</v>
      </c>
      <c r="B8" s="13">
        <v>3.4105323333333333E-2</v>
      </c>
      <c r="C8" s="13">
        <v>4.482697740273997E-2</v>
      </c>
      <c r="D8" s="13">
        <v>4.5827559189539971E-2</v>
      </c>
      <c r="E8" s="13">
        <v>4.7450123637539969E-2</v>
      </c>
      <c r="G8" s="19">
        <v>2016</v>
      </c>
      <c r="H8" s="9">
        <v>1.03</v>
      </c>
      <c r="I8" s="8">
        <v>1.63</v>
      </c>
      <c r="J8" s="10">
        <v>1.024224375</v>
      </c>
      <c r="L8" s="19">
        <v>1987</v>
      </c>
      <c r="M8" s="18">
        <v>257.07000699999998</v>
      </c>
      <c r="N8" s="17">
        <f t="shared" si="0"/>
        <v>-6.2062101601019215E-2</v>
      </c>
    </row>
    <row r="9" spans="1:14">
      <c r="A9" s="19">
        <v>1966</v>
      </c>
      <c r="B9" s="13">
        <v>3.1684033299999997E-2</v>
      </c>
      <c r="C9" s="13">
        <v>5.9284651134246656E-2</v>
      </c>
      <c r="D9" s="13">
        <v>6.1037977887186658E-2</v>
      </c>
      <c r="E9" s="13">
        <v>5.7902793143586651E-2</v>
      </c>
      <c r="G9" s="19">
        <v>2017</v>
      </c>
      <c r="H9" s="9">
        <v>1.01</v>
      </c>
      <c r="I9" s="8">
        <v>1.36</v>
      </c>
      <c r="J9" s="10">
        <v>0.99617298600000004</v>
      </c>
      <c r="L9" s="19">
        <v>1988</v>
      </c>
      <c r="M9" s="18">
        <v>297.47000100000002</v>
      </c>
      <c r="N9" s="17">
        <f t="shared" si="0"/>
        <v>0.15715561092274788</v>
      </c>
    </row>
    <row r="10" spans="1:14">
      <c r="A10" s="19">
        <v>1967</v>
      </c>
      <c r="B10" s="13">
        <v>3.1483028400000002E-2</v>
      </c>
      <c r="C10" s="13">
        <v>4.8379695342465862E-2</v>
      </c>
      <c r="D10" s="13">
        <v>5.6158957636865868E-2</v>
      </c>
      <c r="E10" s="13">
        <v>5.7907022005445861E-2</v>
      </c>
      <c r="G10" s="19">
        <v>2018</v>
      </c>
      <c r="H10" s="9">
        <v>1.1100000000000001</v>
      </c>
      <c r="I10" s="8">
        <v>0.99</v>
      </c>
      <c r="J10" s="10">
        <v>0.96807860331325002</v>
      </c>
      <c r="L10" s="19">
        <v>1989</v>
      </c>
      <c r="M10" s="18">
        <v>329.07998700000002</v>
      </c>
      <c r="N10" s="17">
        <f t="shared" si="0"/>
        <v>0.10626276899767118</v>
      </c>
    </row>
    <row r="11" spans="1:14">
      <c r="A11" s="19">
        <v>1968</v>
      </c>
      <c r="B11" s="13">
        <v>3.1772340196296295E-2</v>
      </c>
      <c r="C11" s="13">
        <v>6.2164373770492068E-2</v>
      </c>
      <c r="D11" s="13">
        <v>6.2761961794492074E-2</v>
      </c>
      <c r="E11" s="13">
        <v>6.2264585311012068E-2</v>
      </c>
      <c r="G11" s="19">
        <v>2019</v>
      </c>
      <c r="H11" s="9">
        <v>1.08</v>
      </c>
      <c r="I11" s="8">
        <v>1.2</v>
      </c>
      <c r="J11" s="10">
        <v>0.991516406340754</v>
      </c>
      <c r="L11" s="19">
        <v>1990</v>
      </c>
      <c r="M11" s="18">
        <v>343.92999300000002</v>
      </c>
      <c r="N11" s="17">
        <f t="shared" si="0"/>
        <v>4.5125825290615484E-2</v>
      </c>
    </row>
    <row r="12" spans="1:14">
      <c r="A12" s="19">
        <v>1969</v>
      </c>
      <c r="B12" s="13">
        <v>3.1503442533333335E-2</v>
      </c>
      <c r="C12" s="13">
        <v>9.0192171134246615E-2</v>
      </c>
      <c r="D12" s="13">
        <v>7.9312116350246611E-2</v>
      </c>
      <c r="E12" s="13">
        <v>7.3879926266066612E-2</v>
      </c>
      <c r="G12" s="19">
        <v>2020</v>
      </c>
      <c r="H12" s="9">
        <v>0.98</v>
      </c>
      <c r="I12" s="8">
        <v>1.32</v>
      </c>
      <c r="J12" s="10">
        <v>1.0009130721259367</v>
      </c>
      <c r="L12" s="19">
        <v>1991</v>
      </c>
      <c r="M12" s="18">
        <v>408.77999899999998</v>
      </c>
      <c r="N12" s="17">
        <f t="shared" si="0"/>
        <v>0.18855583205853166</v>
      </c>
    </row>
    <row r="13" spans="1:14">
      <c r="A13" s="19">
        <v>1970</v>
      </c>
      <c r="B13" s="13">
        <v>4.5390332800000009E-2</v>
      </c>
      <c r="C13" s="13">
        <v>8.304323568219206E-2</v>
      </c>
      <c r="D13" s="13">
        <v>8.0440911475112065E-2</v>
      </c>
      <c r="E13" s="13">
        <v>8.5487277274692061E-2</v>
      </c>
      <c r="G13" s="19">
        <v>2021</v>
      </c>
      <c r="H13" s="9">
        <v>1.22</v>
      </c>
      <c r="I13" s="8">
        <v>1.25</v>
      </c>
      <c r="J13" s="10">
        <v>1.0769915100844529</v>
      </c>
      <c r="L13" s="19">
        <v>1992</v>
      </c>
      <c r="M13" s="18">
        <v>438.77999899999998</v>
      </c>
      <c r="N13" s="17">
        <f t="shared" si="0"/>
        <v>7.3389109235748151E-2</v>
      </c>
    </row>
    <row r="14" spans="1:14">
      <c r="A14" s="19">
        <v>1971</v>
      </c>
      <c r="B14" s="13">
        <v>5.1973570518518523E-2</v>
      </c>
      <c r="C14" s="13">
        <v>5.0380622904109724E-2</v>
      </c>
      <c r="D14" s="13">
        <v>5.287253288910973E-2</v>
      </c>
      <c r="E14" s="13">
        <v>6.699548851518973E-2</v>
      </c>
      <c r="G14" s="19">
        <v>2022</v>
      </c>
      <c r="H14" s="9">
        <v>0.94</v>
      </c>
      <c r="I14" s="8">
        <v>1.1200000000000001</v>
      </c>
      <c r="J14" s="10">
        <v>0.90378650219753498</v>
      </c>
      <c r="L14" s="19">
        <v>1993</v>
      </c>
      <c r="M14" s="18">
        <v>481.60998499999999</v>
      </c>
      <c r="N14" s="17">
        <f t="shared" si="0"/>
        <v>9.7611527639390072E-2</v>
      </c>
    </row>
    <row r="15" spans="1:14">
      <c r="A15" s="19">
        <v>1972</v>
      </c>
      <c r="B15" s="13">
        <v>5.5397710333333329E-2</v>
      </c>
      <c r="C15" s="13">
        <v>5.0394044065573906E-2</v>
      </c>
      <c r="D15" s="13">
        <v>5.6343270400513901E-2</v>
      </c>
      <c r="E15" s="13">
        <v>7.10649204986539E-2</v>
      </c>
      <c r="G15" s="19">
        <v>2023</v>
      </c>
      <c r="H15" s="9">
        <v>0.77</v>
      </c>
      <c r="I15" s="8">
        <v>1.1399999999999999</v>
      </c>
      <c r="J15" s="10">
        <v>0.88662318345492785</v>
      </c>
      <c r="L15" s="19">
        <v>1994</v>
      </c>
      <c r="M15" s="18">
        <v>470.42001299999998</v>
      </c>
      <c r="N15" s="17">
        <f t="shared" si="0"/>
        <v>-2.323450997387444E-2</v>
      </c>
    </row>
    <row r="16" spans="1:14">
      <c r="A16" s="19">
        <v>1973</v>
      </c>
      <c r="B16" s="13">
        <v>7.9471174222222218E-2</v>
      </c>
      <c r="C16" s="13">
        <v>9.7040593402739878E-2</v>
      </c>
      <c r="D16" s="13">
        <v>8.1423585440339882E-2</v>
      </c>
      <c r="E16" s="13">
        <v>7.5715078259859875E-2</v>
      </c>
      <c r="G16" s="20"/>
      <c r="L16" s="19">
        <v>1995</v>
      </c>
      <c r="M16" s="18">
        <v>636.02002000000005</v>
      </c>
      <c r="N16" s="17">
        <f t="shared" si="0"/>
        <v>0.35202585439323153</v>
      </c>
    </row>
    <row r="17" spans="1:14">
      <c r="A17" s="19">
        <v>1974</v>
      </c>
      <c r="B17" s="13">
        <v>0.12618325349999998</v>
      </c>
      <c r="C17" s="13">
        <v>0.11895174286027409</v>
      </c>
      <c r="D17" s="13">
        <v>9.3636972886914083E-2</v>
      </c>
      <c r="E17" s="13">
        <v>8.5940119154654077E-2</v>
      </c>
      <c r="G17" s="22" t="s">
        <v>65</v>
      </c>
      <c r="H17" s="16">
        <f t="shared" ref="H17:I17" si="1">AVERAGE(H5:H15)</f>
        <v>1.046</v>
      </c>
      <c r="I17" s="16">
        <f t="shared" si="1"/>
        <v>1.371</v>
      </c>
      <c r="J17" s="16">
        <f>AVERAGE(J5:J15)</f>
        <v>1.0165280313752736</v>
      </c>
      <c r="L17" s="19">
        <v>1996</v>
      </c>
      <c r="M17" s="18">
        <v>786.15997300000004</v>
      </c>
      <c r="N17" s="17">
        <f t="shared" si="0"/>
        <v>0.23606167774404341</v>
      </c>
    </row>
    <row r="18" spans="1:14">
      <c r="A18" s="19">
        <v>1975</v>
      </c>
      <c r="B18" s="13">
        <v>8.9067338666666676E-2</v>
      </c>
      <c r="C18" s="13">
        <v>6.3576081490410968E-2</v>
      </c>
      <c r="D18" s="13">
        <v>7.4133775291050974E-2</v>
      </c>
      <c r="E18" s="13">
        <v>8.7474467648430962E-2</v>
      </c>
      <c r="G18" s="22" t="s">
        <v>66</v>
      </c>
      <c r="H18" s="16">
        <f>AVERAGE(H6:H15)</f>
        <v>1.046</v>
      </c>
      <c r="I18" s="16">
        <f>AVERAGE(I6:I15)</f>
        <v>1.371</v>
      </c>
      <c r="J18" s="16">
        <f>AVERAGE(J6:J15)</f>
        <v>0.99741907784613448</v>
      </c>
      <c r="L18" s="19">
        <v>1997</v>
      </c>
      <c r="M18" s="18">
        <v>980.28002900000001</v>
      </c>
      <c r="N18" s="17">
        <f t="shared" si="0"/>
        <v>0.24692182592206335</v>
      </c>
    </row>
    <row r="19" spans="1:14">
      <c r="A19" s="19">
        <v>1976</v>
      </c>
      <c r="B19" s="13">
        <v>7.217955188148148E-2</v>
      </c>
      <c r="C19" s="13">
        <v>5.5605304918032832E-2</v>
      </c>
      <c r="D19" s="13">
        <v>6.5130710889552829E-2</v>
      </c>
      <c r="E19" s="13">
        <v>8.467969756603283E-2</v>
      </c>
      <c r="G19" s="22" t="s">
        <v>67</v>
      </c>
      <c r="H19" s="16">
        <f>AVERAGE(H8:H15)</f>
        <v>1.0175000000000001</v>
      </c>
      <c r="I19" s="16">
        <f t="shared" ref="I19:J19" si="2">AVERAGE(I8:I15)</f>
        <v>1.2512500000000002</v>
      </c>
      <c r="J19" s="16">
        <f t="shared" si="2"/>
        <v>0.98103832981460704</v>
      </c>
      <c r="L19" s="19">
        <v>1998</v>
      </c>
      <c r="M19" s="18">
        <v>1279.6400149999999</v>
      </c>
      <c r="N19" s="17">
        <f t="shared" si="0"/>
        <v>0.30538211240045565</v>
      </c>
    </row>
    <row r="20" spans="1:14">
      <c r="A20" s="19">
        <v>1977</v>
      </c>
      <c r="B20" s="13">
        <v>8.346455333333333E-2</v>
      </c>
      <c r="C20" s="13">
        <v>6.3156586871232864E-2</v>
      </c>
      <c r="D20" s="13">
        <v>6.9180542275312867E-2</v>
      </c>
      <c r="E20" s="13">
        <v>8.4468543165432869E-2</v>
      </c>
      <c r="G20" s="22" t="s">
        <v>68</v>
      </c>
      <c r="H20" s="16">
        <f>AVERAGE(H11:H15)</f>
        <v>0.998</v>
      </c>
      <c r="I20" s="16">
        <f>AVERAGE(I11:I15)</f>
        <v>1.206</v>
      </c>
      <c r="J20" s="16">
        <f>AVERAGE(J11:J15)</f>
        <v>0.97196613484072125</v>
      </c>
      <c r="L20" s="19">
        <v>1999</v>
      </c>
      <c r="M20" s="18">
        <v>1394.459961</v>
      </c>
      <c r="N20" s="17">
        <f t="shared" si="0"/>
        <v>8.9728317850391814E-2</v>
      </c>
    </row>
    <row r="21" spans="1:14">
      <c r="A21" s="19">
        <v>1978</v>
      </c>
      <c r="B21" s="13">
        <v>7.3698887733333343E-2</v>
      </c>
      <c r="C21" s="13">
        <v>9.2137595791780935E-2</v>
      </c>
      <c r="D21" s="13">
        <v>9.6499247049280923E-2</v>
      </c>
      <c r="E21" s="13">
        <v>9.7343516144740933E-2</v>
      </c>
      <c r="L21" s="19">
        <v>2000</v>
      </c>
      <c r="M21" s="18">
        <v>1366.01001</v>
      </c>
      <c r="N21" s="17">
        <f t="shared" si="0"/>
        <v>-2.0402128275951337E-2</v>
      </c>
    </row>
    <row r="22" spans="1:14">
      <c r="A22" s="19">
        <v>1979</v>
      </c>
      <c r="B22" s="13">
        <v>8.0648951933333338E-2</v>
      </c>
      <c r="C22" s="13">
        <v>0.13201939226301374</v>
      </c>
      <c r="D22" s="13">
        <v>0.12595782100137376</v>
      </c>
      <c r="E22" s="13">
        <v>0.11230737757701374</v>
      </c>
      <c r="G22" s="269" t="s">
        <v>69</v>
      </c>
      <c r="H22" s="269"/>
      <c r="I22" s="269"/>
      <c r="J22" s="269"/>
      <c r="L22" s="19">
        <v>2001</v>
      </c>
      <c r="M22" s="18">
        <v>1130.1999510000001</v>
      </c>
      <c r="N22" s="17">
        <f t="shared" si="0"/>
        <v>-0.17262688946181293</v>
      </c>
    </row>
    <row r="23" spans="1:14">
      <c r="A23" s="19">
        <v>1980</v>
      </c>
      <c r="B23" s="13">
        <v>0.12546484140740741</v>
      </c>
      <c r="C23" s="13">
        <v>0.14647805027322411</v>
      </c>
      <c r="D23" s="13">
        <v>0.13227854120394411</v>
      </c>
      <c r="E23" s="13">
        <v>0.12575338099086411</v>
      </c>
      <c r="G23" s="269"/>
      <c r="H23" s="269"/>
      <c r="I23" s="269"/>
      <c r="J23" s="269"/>
      <c r="L23" s="19">
        <v>2002</v>
      </c>
      <c r="M23" s="18">
        <v>855.70001200000002</v>
      </c>
      <c r="N23" s="17">
        <f t="shared" si="0"/>
        <v>-0.24287732339496448</v>
      </c>
    </row>
    <row r="24" spans="1:14">
      <c r="A24" s="19">
        <v>1981</v>
      </c>
      <c r="B24" s="13">
        <v>0.11287804149999998</v>
      </c>
      <c r="C24" s="13">
        <v>0.17475082958904106</v>
      </c>
      <c r="D24" s="13">
        <v>0.15611832922347105</v>
      </c>
      <c r="E24" s="13">
        <v>0.14634890803662104</v>
      </c>
      <c r="G24" s="269"/>
      <c r="H24" s="269"/>
      <c r="I24" s="269"/>
      <c r="J24" s="269"/>
      <c r="L24" s="19">
        <v>2003</v>
      </c>
      <c r="M24" s="18">
        <v>1131.130005</v>
      </c>
      <c r="N24" s="17">
        <f t="shared" si="0"/>
        <v>0.32187681329610629</v>
      </c>
    </row>
    <row r="25" spans="1:14">
      <c r="A25" s="19">
        <v>1982</v>
      </c>
      <c r="B25" s="13">
        <v>7.6312893125925929E-2</v>
      </c>
      <c r="C25" s="13">
        <v>0.14184789917808244</v>
      </c>
      <c r="D25" s="13">
        <v>0.14194773369153244</v>
      </c>
      <c r="E25" s="13">
        <v>0.15033900082658244</v>
      </c>
      <c r="G25" s="269"/>
      <c r="H25" s="269"/>
      <c r="I25" s="269"/>
      <c r="J25" s="269"/>
      <c r="L25" s="19">
        <v>2004</v>
      </c>
      <c r="M25" s="18">
        <v>1181.2700199999999</v>
      </c>
      <c r="N25" s="17">
        <f t="shared" si="0"/>
        <v>4.4327367126999695E-2</v>
      </c>
    </row>
    <row r="26" spans="1:14">
      <c r="A26" s="19">
        <v>1983</v>
      </c>
      <c r="B26" s="13">
        <v>7.3369267533333338E-2</v>
      </c>
      <c r="C26" s="13">
        <v>9.9258547506849329E-2</v>
      </c>
      <c r="D26" s="13">
        <v>0.10467449706240933</v>
      </c>
      <c r="E26" s="13">
        <v>0.12177931869684933</v>
      </c>
      <c r="L26" s="19">
        <v>2005</v>
      </c>
      <c r="M26" s="18">
        <v>1280.079956</v>
      </c>
      <c r="N26" s="17">
        <f t="shared" si="0"/>
        <v>8.3647205403553748E-2</v>
      </c>
    </row>
    <row r="27" spans="1:14">
      <c r="A27" s="19">
        <v>1984</v>
      </c>
      <c r="B27" s="13">
        <v>6.1599429200000007E-2</v>
      </c>
      <c r="C27" s="13">
        <v>0.11950175475409837</v>
      </c>
      <c r="D27" s="13">
        <v>0.12674800874929837</v>
      </c>
      <c r="E27" s="13">
        <v>0.14426355961034837</v>
      </c>
      <c r="L27" s="19">
        <v>2006</v>
      </c>
      <c r="M27" s="18">
        <v>1438.23999</v>
      </c>
      <c r="N27" s="17">
        <f t="shared" si="0"/>
        <v>0.12355480863415691</v>
      </c>
    </row>
    <row r="28" spans="1:14">
      <c r="A28" s="19">
        <v>1985</v>
      </c>
      <c r="B28" s="13">
        <v>4.2521387248148149E-2</v>
      </c>
      <c r="C28" s="13">
        <v>9.2658495210958827E-2</v>
      </c>
      <c r="D28" s="13">
        <v>9.6029074733158845E-2</v>
      </c>
      <c r="E28" s="13">
        <v>0.12010295080739883</v>
      </c>
      <c r="G28" s="1"/>
      <c r="L28" s="19">
        <v>2007</v>
      </c>
      <c r="M28" s="18">
        <v>1378.5500489999999</v>
      </c>
      <c r="N28" s="17">
        <f t="shared" si="0"/>
        <v>-4.1502072960716396E-2</v>
      </c>
    </row>
    <row r="29" spans="1:14">
      <c r="A29" s="19">
        <v>1986</v>
      </c>
      <c r="B29" s="13">
        <v>2.7344320185185192E-2</v>
      </c>
      <c r="C29" s="13">
        <v>7.3279540558903983E-2</v>
      </c>
      <c r="D29" s="13">
        <v>6.8867908701803981E-2</v>
      </c>
      <c r="E29" s="13">
        <v>8.279690784256398E-2</v>
      </c>
      <c r="L29" s="19">
        <v>2008</v>
      </c>
      <c r="M29" s="18">
        <v>825.88000499999998</v>
      </c>
      <c r="N29" s="17">
        <f t="shared" si="0"/>
        <v>-0.40090676751337884</v>
      </c>
    </row>
    <row r="30" spans="1:14">
      <c r="A30" s="19">
        <v>1987</v>
      </c>
      <c r="B30" s="13">
        <v>3.5579539680000001E-2</v>
      </c>
      <c r="C30" s="13">
        <v>7.4324625139725931E-2</v>
      </c>
      <c r="D30" s="13">
        <v>0.15075435823372596</v>
      </c>
      <c r="E30" s="13">
        <v>0.17002881211572593</v>
      </c>
      <c r="L30" s="19">
        <v>2009</v>
      </c>
      <c r="M30" s="18">
        <v>1073.869995</v>
      </c>
      <c r="N30" s="17">
        <f t="shared" si="0"/>
        <v>0.30027363357707149</v>
      </c>
    </row>
    <row r="31" spans="1:14">
      <c r="A31" s="19">
        <v>1988</v>
      </c>
      <c r="B31" s="13">
        <v>5.0628350443285716E-2</v>
      </c>
      <c r="C31" s="13">
        <v>8.9444406557376968E-2</v>
      </c>
      <c r="D31" s="13">
        <v>9.0368061980616962E-2</v>
      </c>
      <c r="E31" s="13">
        <v>0.10327498228920698</v>
      </c>
      <c r="L31" s="19">
        <v>2010</v>
      </c>
      <c r="M31" s="18">
        <v>1286.119995</v>
      </c>
      <c r="N31" s="17">
        <f t="shared" si="0"/>
        <v>0.1976496233140399</v>
      </c>
    </row>
    <row r="32" spans="1:14">
      <c r="A32" s="19">
        <v>1989</v>
      </c>
      <c r="B32" s="13">
        <v>5.6895431132142849E-2</v>
      </c>
      <c r="C32" s="13">
        <v>0.10835444462465739</v>
      </c>
      <c r="D32" s="13">
        <v>0.10046028177665739</v>
      </c>
      <c r="E32" s="13">
        <v>9.9990276013257384E-2</v>
      </c>
      <c r="L32" s="19">
        <v>2011</v>
      </c>
      <c r="M32" s="18">
        <v>1312.410034</v>
      </c>
      <c r="N32" s="17">
        <f t="shared" si="0"/>
        <v>2.0441357806586291E-2</v>
      </c>
    </row>
    <row r="33" spans="1:14">
      <c r="A33" s="19">
        <v>1990</v>
      </c>
      <c r="B33" s="13">
        <v>6.4297114885714296E-2</v>
      </c>
      <c r="C33" s="13">
        <v>9.5615081643835573E-2</v>
      </c>
      <c r="D33" s="13">
        <v>9.3063243387595571E-2</v>
      </c>
      <c r="E33" s="13">
        <v>0.10049709635259556</v>
      </c>
      <c r="L33" s="19">
        <v>2012</v>
      </c>
      <c r="M33" s="18">
        <v>1498.1099850000001</v>
      </c>
      <c r="N33" s="17">
        <f t="shared" si="0"/>
        <v>0.14149537582703364</v>
      </c>
    </row>
    <row r="34" spans="1:14">
      <c r="A34" s="19">
        <v>1991</v>
      </c>
      <c r="B34" s="13">
        <v>4.8223634920714291E-2</v>
      </c>
      <c r="C34" s="13">
        <v>6.5218252186301312E-2</v>
      </c>
      <c r="D34" s="13">
        <v>6.6660599344301311E-2</v>
      </c>
      <c r="E34" s="13">
        <v>8.9025646741581296E-2</v>
      </c>
      <c r="L34" s="19">
        <v>2013</v>
      </c>
      <c r="M34" s="18">
        <v>1782.589966</v>
      </c>
      <c r="N34" s="17">
        <f t="shared" si="0"/>
        <v>0.18989258722549662</v>
      </c>
    </row>
    <row r="35" spans="1:14">
      <c r="A35" s="19">
        <v>1992</v>
      </c>
      <c r="B35" s="13">
        <v>5.076984887557142E-2</v>
      </c>
      <c r="C35" s="13">
        <v>4.1531679606557376E-2</v>
      </c>
      <c r="D35" s="13">
        <v>4.5172392942557378E-2</v>
      </c>
      <c r="E35" s="13">
        <v>7.9466638426007374E-2</v>
      </c>
      <c r="L35" s="19">
        <v>2014</v>
      </c>
      <c r="M35" s="18">
        <v>1994.98999</v>
      </c>
      <c r="N35" s="17">
        <f t="shared" si="0"/>
        <v>0.11915248489623775</v>
      </c>
    </row>
    <row r="36" spans="1:14">
      <c r="A36" s="19">
        <v>1993</v>
      </c>
      <c r="B36" s="13">
        <v>4.3211130788571431E-2</v>
      </c>
      <c r="C36" s="13">
        <v>3.4002162367123348E-2</v>
      </c>
      <c r="D36" s="13">
        <v>3.8308431925363345E-2</v>
      </c>
      <c r="E36" s="13">
        <v>6.6084660467923356E-2</v>
      </c>
      <c r="L36" s="19">
        <v>2015</v>
      </c>
      <c r="M36" s="18">
        <v>1940.23999</v>
      </c>
      <c r="N36" s="17">
        <f t="shared" si="0"/>
        <v>-2.7443746722759288E-2</v>
      </c>
    </row>
    <row r="37" spans="1:14">
      <c r="A37" s="19">
        <v>1994</v>
      </c>
      <c r="B37" s="13">
        <v>4.239921134699999E-2</v>
      </c>
      <c r="C37" s="13">
        <v>4.807621277808221E-2</v>
      </c>
      <c r="D37" s="13">
        <v>6.0588329112002209E-2</v>
      </c>
      <c r="E37" s="13">
        <v>7.9835227716122198E-2</v>
      </c>
      <c r="L37" s="19">
        <v>2016</v>
      </c>
      <c r="M37" s="18">
        <v>2278.8701169999999</v>
      </c>
      <c r="N37" s="17">
        <f t="shared" si="0"/>
        <v>0.17453002141245411</v>
      </c>
    </row>
    <row r="38" spans="1:14">
      <c r="A38" s="19">
        <v>1995</v>
      </c>
      <c r="B38" s="13">
        <v>3.7261424979999999E-2</v>
      </c>
      <c r="C38" s="13">
        <v>6.7835188953424788E-2</v>
      </c>
      <c r="D38" s="13">
        <v>6.8861629848124786E-2</v>
      </c>
      <c r="E38" s="13">
        <v>7.6006300871824778E-2</v>
      </c>
      <c r="L38" s="19">
        <v>2017</v>
      </c>
      <c r="M38" s="18">
        <v>2823.8100589999999</v>
      </c>
      <c r="N38" s="17">
        <f t="shared" si="0"/>
        <v>0.23912724904102123</v>
      </c>
    </row>
    <row r="39" spans="1:14">
      <c r="A39" s="19">
        <v>1996</v>
      </c>
      <c r="B39" s="13">
        <v>3.6067622297142859E-2</v>
      </c>
      <c r="C39" s="13">
        <v>6.2317905879781463E-2</v>
      </c>
      <c r="D39" s="13">
        <v>6.4418560921441465E-2</v>
      </c>
      <c r="E39" s="13">
        <v>7.4330746914781462E-2</v>
      </c>
      <c r="L39" s="19">
        <v>2018</v>
      </c>
      <c r="M39" s="18">
        <v>2704.1000979999999</v>
      </c>
      <c r="N39" s="17">
        <f t="shared" si="0"/>
        <v>-4.2393064157577598E-2</v>
      </c>
    </row>
    <row r="40" spans="1:14">
      <c r="A40" s="19">
        <v>1997</v>
      </c>
      <c r="B40" s="13">
        <v>2.6732175608428568E-2</v>
      </c>
      <c r="C40" s="13">
        <v>5.9672641534246555E-2</v>
      </c>
      <c r="D40" s="13">
        <v>6.1265227448326562E-2</v>
      </c>
      <c r="E40" s="13">
        <v>6.9166899785126551E-2</v>
      </c>
      <c r="L40" s="19">
        <v>2019</v>
      </c>
      <c r="M40" s="18">
        <v>3225.5200199999999</v>
      </c>
      <c r="N40" s="17">
        <f t="shared" si="0"/>
        <v>0.19282567327505795</v>
      </c>
    </row>
    <row r="41" spans="1:14">
      <c r="A41" s="19">
        <v>1998</v>
      </c>
      <c r="B41" s="13">
        <v>2.5266663142857141E-2</v>
      </c>
      <c r="C41" s="13">
        <v>6.146911110136994E-2</v>
      </c>
      <c r="D41" s="13">
        <v>5.7858028643869942E-2</v>
      </c>
      <c r="E41" s="13">
        <v>6.0255923553049942E-2</v>
      </c>
      <c r="L41" s="19">
        <v>2020</v>
      </c>
      <c r="M41" s="18">
        <v>3714.23999</v>
      </c>
      <c r="N41" s="17">
        <f t="shared" si="0"/>
        <v>0.15151664443862289</v>
      </c>
    </row>
    <row r="42" spans="1:14">
      <c r="A42" s="19">
        <v>1999</v>
      </c>
      <c r="B42" s="13">
        <v>2.0848944912000001E-2</v>
      </c>
      <c r="C42" s="13">
        <v>5.8652146936986338E-2</v>
      </c>
      <c r="D42" s="13">
        <v>5.9656630492586335E-2</v>
      </c>
      <c r="E42" s="13">
        <v>6.6134671926346339E-2</v>
      </c>
      <c r="L42" s="19">
        <v>2021</v>
      </c>
      <c r="M42" s="18">
        <v>4515.5498049999997</v>
      </c>
      <c r="N42" s="17">
        <f t="shared" si="0"/>
        <v>0.21573991372593015</v>
      </c>
    </row>
    <row r="43" spans="1:14">
      <c r="A43" s="19">
        <v>2000</v>
      </c>
      <c r="B43" s="13">
        <v>2.5151977645714287E-2</v>
      </c>
      <c r="C43" s="13">
        <v>6.9420924153005409E-2</v>
      </c>
      <c r="D43" s="13">
        <v>6.7865254389005425E-2</v>
      </c>
      <c r="E43" s="13">
        <v>6.6852384141825413E-2</v>
      </c>
      <c r="L43" s="19">
        <v>2022</v>
      </c>
      <c r="M43" s="18">
        <v>4076.6000979999999</v>
      </c>
      <c r="N43" s="17">
        <f t="shared" si="0"/>
        <v>-9.7208474262415967E-2</v>
      </c>
    </row>
    <row r="44" spans="1:14">
      <c r="A44" s="19">
        <v>2001</v>
      </c>
      <c r="B44" s="13">
        <v>3.2963928272000002E-2</v>
      </c>
      <c r="C44" s="13">
        <v>4.2577898958904181E-2</v>
      </c>
      <c r="D44" s="13">
        <v>3.8171396547454182E-2</v>
      </c>
      <c r="E44" s="13">
        <v>5.5276705137424179E-2</v>
      </c>
      <c r="L44" s="19">
        <v>2023</v>
      </c>
      <c r="M44" s="18">
        <v>4845.6499020000001</v>
      </c>
      <c r="N44" s="17">
        <f t="shared" si="0"/>
        <v>0.18864980265719455</v>
      </c>
    </row>
    <row r="45" spans="1:14">
      <c r="A45" s="19">
        <v>2002</v>
      </c>
      <c r="B45" s="13">
        <v>1.9913509137428571E-2</v>
      </c>
      <c r="C45" s="13">
        <v>1.8638732361643862E-2</v>
      </c>
      <c r="D45" s="13">
        <v>2.2309037860003864E-2</v>
      </c>
      <c r="E45" s="13">
        <v>5.0694755439043865E-2</v>
      </c>
    </row>
    <row r="46" spans="1:14">
      <c r="A46" s="19">
        <v>2003</v>
      </c>
      <c r="B46" s="13">
        <v>2.0713845652571426E-2</v>
      </c>
      <c r="C46" s="13">
        <v>1.2436354016438372E-2</v>
      </c>
      <c r="D46" s="13">
        <v>1.3632025391438372E-2</v>
      </c>
      <c r="E46" s="13">
        <v>4.4819525095238372E-2</v>
      </c>
      <c r="L46" s="21" t="s">
        <v>65</v>
      </c>
      <c r="M46" s="8"/>
      <c r="N46" s="14">
        <f>AVERAGE(N6:N44)</f>
        <v>0.10116451443967481</v>
      </c>
    </row>
    <row r="47" spans="1:14">
      <c r="A47" s="19">
        <v>2004</v>
      </c>
      <c r="B47" s="13">
        <v>2.4807479425000004E-2</v>
      </c>
      <c r="C47" s="13">
        <v>1.5932011278688537E-2</v>
      </c>
      <c r="D47" s="13">
        <v>2.1860663582618536E-2</v>
      </c>
      <c r="E47" s="13">
        <v>4.8519592145688545E-2</v>
      </c>
      <c r="L47" s="21" t="s">
        <v>70</v>
      </c>
      <c r="M47" s="8"/>
      <c r="N47" s="14">
        <f>AVERAGE(N32:N44)</f>
        <v>0.11279429424329865</v>
      </c>
    </row>
    <row r="48" spans="1:14">
      <c r="A48" s="19">
        <v>2005</v>
      </c>
      <c r="B48" s="13">
        <v>2.7161923795714284E-2</v>
      </c>
      <c r="C48" s="13">
        <v>3.6395135956164393E-2</v>
      </c>
      <c r="D48" s="13">
        <v>4.1035954847364393E-2</v>
      </c>
      <c r="E48" s="13">
        <v>4.825143973856439E-2</v>
      </c>
      <c r="L48" s="21" t="s">
        <v>71</v>
      </c>
      <c r="M48" s="8"/>
      <c r="N48" s="14">
        <f>AVERAGE(N35:N44)</f>
        <v>0.11144965043037658</v>
      </c>
    </row>
    <row r="49" spans="1:5">
      <c r="A49" s="19">
        <v>2006</v>
      </c>
      <c r="B49" s="13">
        <v>3.2009596657714294E-2</v>
      </c>
      <c r="C49" s="13">
        <v>5.8793393972602762E-2</v>
      </c>
      <c r="D49" s="13">
        <v>5.8493390822782758E-2</v>
      </c>
      <c r="E49" s="13">
        <v>5.6922800234602763E-2</v>
      </c>
    </row>
    <row r="50" spans="1:5">
      <c r="A50" s="19">
        <v>2007</v>
      </c>
      <c r="B50" s="13">
        <v>2.8195894034285716E-2</v>
      </c>
      <c r="C50" s="13">
        <v>5.4683335189041074E-2</v>
      </c>
      <c r="D50" s="13">
        <v>4.9066540206641071E-2</v>
      </c>
      <c r="E50" s="13">
        <v>5.0250095182681073E-2</v>
      </c>
    </row>
    <row r="51" spans="1:5">
      <c r="A51" s="19">
        <v>2008</v>
      </c>
      <c r="B51" s="13">
        <v>4.6307937936E-2</v>
      </c>
      <c r="C51" s="13">
        <v>2.2511140983606605E-2</v>
      </c>
      <c r="D51" s="13">
        <v>2.1342417318246602E-2</v>
      </c>
      <c r="E51" s="13">
        <v>4.2307541438046603E-2</v>
      </c>
    </row>
    <row r="52" spans="1:5">
      <c r="A52" s="19">
        <v>2009</v>
      </c>
      <c r="B52" s="13">
        <v>6.3339322865714276E-3</v>
      </c>
      <c r="C52" s="13">
        <v>2.2438520109588998E-3</v>
      </c>
      <c r="D52" s="13">
        <v>5.8516540626589002E-3</v>
      </c>
      <c r="E52" s="13">
        <v>3.8075498219758891E-2</v>
      </c>
    </row>
    <row r="53" spans="1:5">
      <c r="A53" s="19">
        <v>2010</v>
      </c>
      <c r="B53" s="13">
        <v>1.7606516267142852E-2</v>
      </c>
      <c r="C53" s="13">
        <v>2.4548940712328764E-3</v>
      </c>
      <c r="D53" s="13">
        <v>4.0831545512328765E-3</v>
      </c>
      <c r="E53" s="13">
        <v>3.6411617025032872E-2</v>
      </c>
    </row>
    <row r="54" spans="1:5">
      <c r="A54" s="19">
        <v>2011</v>
      </c>
      <c r="B54" s="13">
        <v>3.6908479792142859E-2</v>
      </c>
      <c r="C54" s="13">
        <v>1.5118654246575325E-3</v>
      </c>
      <c r="D54" s="13">
        <v>2.4081571006575324E-3</v>
      </c>
      <c r="E54" s="13">
        <v>3.1118401250797536E-2</v>
      </c>
    </row>
    <row r="55" spans="1:5">
      <c r="A55" s="19">
        <v>2012</v>
      </c>
      <c r="B55" s="13">
        <v>2.3045558612571432E-2</v>
      </c>
      <c r="C55" s="13">
        <v>1.9397888524590114E-3</v>
      </c>
      <c r="D55" s="13">
        <v>2.332307922259011E-3</v>
      </c>
      <c r="E55" s="13">
        <v>2.0703178413459009E-2</v>
      </c>
    </row>
    <row r="56" spans="1:5">
      <c r="A56" s="19">
        <v>2013</v>
      </c>
      <c r="B56" s="13">
        <v>1.6590828662571434E-2</v>
      </c>
      <c r="C56" s="13">
        <v>1.6623473972602757E-3</v>
      </c>
      <c r="D56" s="13">
        <v>1.9635326903602755E-3</v>
      </c>
      <c r="E56" s="13">
        <v>2.7284830209590279E-2</v>
      </c>
    </row>
    <row r="57" spans="1:5">
      <c r="A57" s="19">
        <v>2014</v>
      </c>
      <c r="B57" s="13">
        <v>1.172091183171429E-2</v>
      </c>
      <c r="C57" s="13">
        <v>1.4287859726027391E-3</v>
      </c>
      <c r="D57" s="13">
        <v>1.8255826506427392E-3</v>
      </c>
      <c r="E57" s="13">
        <v>2.8809341781802739E-2</v>
      </c>
    </row>
    <row r="58" spans="1:5">
      <c r="A58" s="19">
        <v>2015</v>
      </c>
      <c r="B58" s="13">
        <v>1.9038239700000011E-3</v>
      </c>
      <c r="C58" s="13">
        <v>1.9172020164383546E-3</v>
      </c>
      <c r="D58" s="13">
        <v>4.0545706327583548E-3</v>
      </c>
      <c r="E58" s="13">
        <v>2.4342029867318354E-2</v>
      </c>
    </row>
    <row r="59" spans="1:5">
      <c r="A59" s="19">
        <v>2016</v>
      </c>
      <c r="B59" s="13">
        <v>6.4158351171428596E-3</v>
      </c>
      <c r="C59" s="13">
        <v>4.6672853770491837E-3</v>
      </c>
      <c r="D59" s="13">
        <v>7.0587429476091836E-3</v>
      </c>
      <c r="E59" s="13">
        <v>2.0778523147049185E-2</v>
      </c>
    </row>
    <row r="60" spans="1:5">
      <c r="A60" s="19">
        <v>2017</v>
      </c>
      <c r="B60" s="13">
        <v>1.6353262149714286E-2</v>
      </c>
      <c r="C60" s="13">
        <v>1.1716365840220422E-2</v>
      </c>
      <c r="D60" s="13">
        <v>1.3849602955390424E-2</v>
      </c>
      <c r="E60" s="13">
        <v>2.6743097194220421E-2</v>
      </c>
    </row>
    <row r="61" spans="1:5">
      <c r="A61" s="19">
        <v>2018</v>
      </c>
      <c r="B61" s="13">
        <v>1.8738527857714286E-2</v>
      </c>
      <c r="C61" s="13">
        <v>2.0122779151515176E-2</v>
      </c>
      <c r="D61" s="13">
        <v>2.1619337199015175E-2</v>
      </c>
      <c r="E61" s="13">
        <v>3.240219020201518E-2</v>
      </c>
    </row>
    <row r="62" spans="1:5">
      <c r="A62" s="19">
        <v>2019</v>
      </c>
      <c r="B62" s="13">
        <v>1.709218832E-2</v>
      </c>
      <c r="C62" s="13">
        <v>2.3439266996015895E-2</v>
      </c>
      <c r="D62" s="13">
        <v>2.2259810258975894E-2</v>
      </c>
      <c r="E62" s="13">
        <v>2.3242515674015897E-2</v>
      </c>
    </row>
    <row r="63" spans="1:5">
      <c r="A63" s="19">
        <v>2020</v>
      </c>
      <c r="B63" s="13">
        <v>7.5123102214285737E-3</v>
      </c>
      <c r="C63" s="13">
        <v>4.2667003952569236E-3</v>
      </c>
      <c r="D63" s="13">
        <v>4.2667003952569236E-3</v>
      </c>
      <c r="E63" s="13">
        <v>1.0315537751796923E-2</v>
      </c>
    </row>
    <row r="64" spans="1:5">
      <c r="A64" s="19">
        <v>2021</v>
      </c>
      <c r="B64" s="13">
        <v>3.1581050683285712E-2</v>
      </c>
      <c r="C64" s="13">
        <v>1.268988888888885E-3</v>
      </c>
      <c r="D64" s="13">
        <v>1.5710776016888851E-3</v>
      </c>
      <c r="E64" s="13">
        <v>1.6621651741338887E-2</v>
      </c>
    </row>
    <row r="65" spans="1:5">
      <c r="A65" s="19">
        <v>2022</v>
      </c>
      <c r="B65" s="13">
        <v>7.4072119931999983E-2</v>
      </c>
      <c r="C65" s="13">
        <v>1.9959123583999993E-2</v>
      </c>
      <c r="D65" s="13">
        <v>2.0976343521499994E-2</v>
      </c>
      <c r="E65" s="13">
        <v>2.9007302841439993E-2</v>
      </c>
    </row>
    <row r="66" spans="1:5">
      <c r="A66" s="19">
        <v>2023</v>
      </c>
      <c r="B66" s="13">
        <v>6.6500000000000004E-2</v>
      </c>
      <c r="C66" s="13">
        <v>5.3871779925926067E-2</v>
      </c>
      <c r="D66" s="13">
        <v>7.0017169370726065E-2</v>
      </c>
      <c r="E66" s="13">
        <v>3.1177650651046069E-2</v>
      </c>
    </row>
    <row r="68" spans="1:5">
      <c r="A68" s="21" t="s">
        <v>65</v>
      </c>
      <c r="B68" s="14">
        <f>AVERAGE(B5:B66)</f>
        <v>4.2941379700534153E-2</v>
      </c>
      <c r="C68" s="15"/>
      <c r="D68" s="15"/>
      <c r="E68" s="14">
        <f>AVERAGE(E5:E66)</f>
        <v>6.7381046429472541E-2</v>
      </c>
    </row>
    <row r="69" spans="1:5">
      <c r="A69" s="21" t="s">
        <v>72</v>
      </c>
      <c r="B69" s="14">
        <f>AVERAGE(B43:B62)</f>
        <v>2.1496797871185712E-2</v>
      </c>
      <c r="C69" s="15"/>
      <c r="D69" s="15"/>
      <c r="E69" s="14">
        <f>AVERAGE(E43:E62)</f>
        <v>3.8690303076908787E-2</v>
      </c>
    </row>
    <row r="70" spans="1:5">
      <c r="A70" s="21" t="s">
        <v>73</v>
      </c>
      <c r="B70" s="14">
        <f>AVERAGE(B53:B62)</f>
        <v>1.6637593258071431E-2</v>
      </c>
      <c r="C70" s="15"/>
      <c r="D70" s="15"/>
      <c r="E70" s="14">
        <f>AVERAGE(E53:E62)</f>
        <v>2.7183572476530148E-2</v>
      </c>
    </row>
    <row r="71" spans="1:5">
      <c r="A71" s="21" t="s">
        <v>74</v>
      </c>
      <c r="B71" s="14">
        <f>AVERAGE(B52:B66)</f>
        <v>2.3491689713599998E-2</v>
      </c>
      <c r="C71" s="32"/>
      <c r="D71" s="32"/>
      <c r="E71" s="14">
        <f>AVERAGE(E52:E66)</f>
        <v>2.646889106471215E-2</v>
      </c>
    </row>
    <row r="72" spans="1:5">
      <c r="A72" s="21" t="s">
        <v>75</v>
      </c>
      <c r="B72" s="14">
        <f>AVERAGE(B57:B66)</f>
        <v>2.5189003008299998E-2</v>
      </c>
      <c r="C72" s="32"/>
      <c r="D72" s="32"/>
      <c r="E72" s="14">
        <f>AVERAGE(E57:E66)</f>
        <v>2.4343984085204363E-2</v>
      </c>
    </row>
  </sheetData>
  <mergeCells count="2">
    <mergeCell ref="G22:J25"/>
    <mergeCell ref="A1:XFD1"/>
  </mergeCells>
  <hyperlinks>
    <hyperlink ref="A1" location="'Table of Contents'!A1" display="Table of Contents" xr:uid="{7CBD653C-59B4-0341-8AA4-23A30BEB917D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6D752-9EB3-F441-893A-D441A5FF14FD}">
  <sheetPr codeName="Sheet4">
    <tabColor theme="8"/>
  </sheetPr>
  <dimension ref="A1:M130"/>
  <sheetViews>
    <sheetView showGridLines="0" zoomScale="80" zoomScaleNormal="80" workbookViewId="0">
      <selection activeCell="L3" sqref="L3"/>
    </sheetView>
  </sheetViews>
  <sheetFormatPr defaultColWidth="11" defaultRowHeight="15.75"/>
  <cols>
    <col min="2" max="9" width="17.625" customWidth="1"/>
    <col min="11" max="13" width="16.5" customWidth="1"/>
    <col min="14" max="14" width="12.875" bestFit="1" customWidth="1"/>
  </cols>
  <sheetData>
    <row r="1" spans="1:13">
      <c r="A1" s="31" t="s">
        <v>8</v>
      </c>
    </row>
    <row r="2" spans="1:13" ht="24">
      <c r="A2" s="3" t="s">
        <v>14</v>
      </c>
    </row>
    <row r="3" spans="1:13">
      <c r="K3" s="112">
        <f>1-'Inputs &amp; Results'!$B$18</f>
        <v>0.75</v>
      </c>
      <c r="L3" s="113">
        <f>(1-'Inputs &amp; Results'!$B$19)*(1-'Inputs &amp; Results'!$B$20)</f>
        <v>0.92149999999999999</v>
      </c>
      <c r="M3" s="113">
        <f>(1-'Inputs &amp; Results'!$B$19)*(1-'Inputs &amp; Results'!$B$20)</f>
        <v>0.92149999999999999</v>
      </c>
    </row>
    <row r="4" spans="1:13">
      <c r="A4" s="31"/>
      <c r="B4" s="270" t="s">
        <v>76</v>
      </c>
      <c r="C4" s="270"/>
      <c r="D4" s="270"/>
      <c r="E4" s="271"/>
      <c r="F4" s="272" t="s">
        <v>77</v>
      </c>
      <c r="G4" s="272"/>
      <c r="H4" s="272"/>
      <c r="I4" s="272"/>
      <c r="K4" s="273" t="s">
        <v>78</v>
      </c>
      <c r="L4" s="274"/>
      <c r="M4" s="275"/>
    </row>
    <row r="5" spans="1:13">
      <c r="A5" s="42" t="s">
        <v>79</v>
      </c>
      <c r="B5" s="64" t="s">
        <v>80</v>
      </c>
      <c r="C5" s="65" t="s">
        <v>81</v>
      </c>
      <c r="D5" s="65" t="s">
        <v>82</v>
      </c>
      <c r="E5" s="66" t="s">
        <v>83</v>
      </c>
      <c r="F5" s="64" t="s">
        <v>80</v>
      </c>
      <c r="G5" s="65" t="s">
        <v>84</v>
      </c>
      <c r="H5" s="65" t="s">
        <v>85</v>
      </c>
      <c r="I5" s="67" t="s">
        <v>83</v>
      </c>
      <c r="K5" s="119" t="s">
        <v>80</v>
      </c>
      <c r="L5" s="120" t="s">
        <v>81</v>
      </c>
      <c r="M5" s="121" t="s">
        <v>82</v>
      </c>
    </row>
    <row r="6" spans="1:13">
      <c r="A6">
        <v>26</v>
      </c>
      <c r="B6" s="124">
        <v>2.4628897257132402E-3</v>
      </c>
      <c r="C6" s="125">
        <v>9.7970749495742532E-4</v>
      </c>
      <c r="D6" s="125">
        <v>4.6168831581160259E-4</v>
      </c>
      <c r="E6" s="129">
        <v>5.6800000000000004E-4</v>
      </c>
      <c r="F6" s="130">
        <f>LN(B6)</f>
        <v>-6.0064199331914638</v>
      </c>
      <c r="G6" s="131">
        <f>LN(C6)</f>
        <v>-6.9282565053852849</v>
      </c>
      <c r="H6" s="131">
        <f>LN(D6)</f>
        <v>-7.6806205356556738</v>
      </c>
      <c r="I6" s="132">
        <f>LN(E6)</f>
        <v>-7.4733891392431229</v>
      </c>
      <c r="K6" s="126">
        <f>B6*$K$3</f>
        <v>1.84716729428493E-3</v>
      </c>
      <c r="L6" s="127">
        <f t="shared" ref="L6:M6" si="0">C6*$K$3</f>
        <v>7.3478062121806894E-4</v>
      </c>
      <c r="M6" s="135">
        <f t="shared" si="0"/>
        <v>3.4626623685870194E-4</v>
      </c>
    </row>
    <row r="7" spans="1:13">
      <c r="A7">
        <v>27</v>
      </c>
      <c r="B7" s="126">
        <v>2.0497572492542779E-3</v>
      </c>
      <c r="C7" s="127">
        <v>9.9476580867529263E-4</v>
      </c>
      <c r="D7" s="127">
        <v>4.6977027043857968E-4</v>
      </c>
      <c r="E7" s="129">
        <v>5.8299999999999997E-4</v>
      </c>
      <c r="F7" s="122">
        <f t="shared" ref="F7:F45" si="1">LN(B7)</f>
        <v>-6.1900339078413431</v>
      </c>
      <c r="G7" s="128">
        <f t="shared" ref="G7:G45" si="2">LN(C7)</f>
        <v>-6.9130032166746505</v>
      </c>
      <c r="H7" s="128">
        <f t="shared" ref="H7:H45" si="3">LN(D7)</f>
        <v>-7.6632667690560279</v>
      </c>
      <c r="I7" s="123">
        <f t="shared" ref="I7:I38" si="4">LN(E7)</f>
        <v>-7.4473233716137814</v>
      </c>
      <c r="K7" s="126">
        <f>B7*$K$3</f>
        <v>1.5373179369407085E-3</v>
      </c>
      <c r="L7" s="127">
        <f t="shared" ref="L7:L70" si="5">C7*$K$3</f>
        <v>7.4607435650646953E-4</v>
      </c>
      <c r="M7" s="135">
        <f t="shared" ref="M7:M70" si="6">D7*$K$3</f>
        <v>3.5232770282893474E-4</v>
      </c>
    </row>
    <row r="8" spans="1:13">
      <c r="A8">
        <v>28</v>
      </c>
      <c r="B8" s="126">
        <v>1.7045910983568429E-3</v>
      </c>
      <c r="C8" s="127">
        <v>1.014219357170817E-3</v>
      </c>
      <c r="D8" s="127">
        <v>4.8134675380255072E-4</v>
      </c>
      <c r="E8" s="129">
        <v>5.9900000000000003E-4</v>
      </c>
      <c r="F8" s="122">
        <f t="shared" si="1"/>
        <v>-6.374430022019923</v>
      </c>
      <c r="G8" s="128">
        <f t="shared" si="2"/>
        <v>-6.8936360686379716</v>
      </c>
      <c r="H8" s="128">
        <f t="shared" si="3"/>
        <v>-7.6389226457070496</v>
      </c>
      <c r="I8" s="123">
        <f t="shared" si="4"/>
        <v>-7.4202489598488244</v>
      </c>
      <c r="K8" s="126">
        <f t="shared" ref="K8:K70" si="7">B8*$K$3</f>
        <v>1.2784433237676323E-3</v>
      </c>
      <c r="L8" s="127">
        <f t="shared" si="5"/>
        <v>7.6066451787811277E-4</v>
      </c>
      <c r="M8" s="135">
        <f t="shared" si="6"/>
        <v>3.6101006535191305E-4</v>
      </c>
    </row>
    <row r="9" spans="1:13">
      <c r="A9">
        <v>29</v>
      </c>
      <c r="B9" s="126">
        <v>1.4206110895486411E-3</v>
      </c>
      <c r="C9" s="127">
        <v>1.037944019748036E-3</v>
      </c>
      <c r="D9" s="127">
        <v>4.9636061146634213E-4</v>
      </c>
      <c r="E9" s="129">
        <v>6.1899999999999998E-4</v>
      </c>
      <c r="F9" s="122">
        <f t="shared" si="1"/>
        <v>-6.5566681551881487</v>
      </c>
      <c r="G9" s="128">
        <f t="shared" si="2"/>
        <v>-6.8705134265713408</v>
      </c>
      <c r="H9" s="128">
        <f t="shared" si="3"/>
        <v>-7.6082078561576907</v>
      </c>
      <c r="I9" s="123">
        <f t="shared" si="4"/>
        <v>-7.3874052852796783</v>
      </c>
      <c r="K9" s="126">
        <f>B9*$K$3</f>
        <v>1.0654583171614807E-3</v>
      </c>
      <c r="L9" s="127">
        <f t="shared" si="5"/>
        <v>7.7845801481102696E-4</v>
      </c>
      <c r="M9" s="135">
        <f t="shared" si="6"/>
        <v>3.722704585997566E-4</v>
      </c>
    </row>
    <row r="10" spans="1:13">
      <c r="A10">
        <v>30</v>
      </c>
      <c r="B10" s="126">
        <v>1.191037039357377E-3</v>
      </c>
      <c r="C10" s="127">
        <v>1.0658156757109871E-3</v>
      </c>
      <c r="D10" s="127">
        <v>5.147546889927799E-4</v>
      </c>
      <c r="E10" s="129">
        <v>6.4999999999999997E-4</v>
      </c>
      <c r="F10" s="122">
        <f t="shared" si="1"/>
        <v>-6.7329308897160782</v>
      </c>
      <c r="G10" s="128">
        <f t="shared" si="2"/>
        <v>-6.8440148802805103</v>
      </c>
      <c r="H10" s="128">
        <f t="shared" si="3"/>
        <v>-7.5718201028355434</v>
      </c>
      <c r="I10" s="123">
        <f t="shared" si="4"/>
        <v>-7.3385381950745909</v>
      </c>
      <c r="K10" s="126">
        <f>B10*$K$3</f>
        <v>8.9327777951803274E-4</v>
      </c>
      <c r="L10" s="127">
        <f t="shared" si="5"/>
        <v>7.993617567832403E-4</v>
      </c>
      <c r="M10" s="135">
        <f t="shared" si="6"/>
        <v>3.860660167445849E-4</v>
      </c>
    </row>
    <row r="11" spans="1:13">
      <c r="A11">
        <v>31</v>
      </c>
      <c r="B11" s="126">
        <v>1.010546323388019E-3</v>
      </c>
      <c r="C11" s="127">
        <v>1.0977228664509871E-3</v>
      </c>
      <c r="D11" s="127">
        <v>5.3645892540402172E-4</v>
      </c>
      <c r="E11" s="129">
        <v>6.87E-4</v>
      </c>
      <c r="F11" s="122">
        <f t="shared" si="1"/>
        <v>-6.8972641801247825</v>
      </c>
      <c r="G11" s="128">
        <f t="shared" si="2"/>
        <v>-6.8145173662490279</v>
      </c>
      <c r="H11" s="128">
        <f t="shared" si="3"/>
        <v>-7.5305205591151427</v>
      </c>
      <c r="I11" s="123">
        <f t="shared" si="4"/>
        <v>-7.2831762657419246</v>
      </c>
      <c r="K11" s="126">
        <f>B11*$K$3</f>
        <v>7.5790974254101432E-4</v>
      </c>
      <c r="L11" s="127">
        <f t="shared" si="5"/>
        <v>8.2329214983824033E-4</v>
      </c>
      <c r="M11" s="135">
        <f t="shared" si="6"/>
        <v>4.0234419405301629E-4</v>
      </c>
    </row>
    <row r="12" spans="1:13">
      <c r="A12">
        <v>32</v>
      </c>
      <c r="B12" s="126">
        <v>8.846211672405473E-4</v>
      </c>
      <c r="C12" s="127">
        <v>1.133772916095699E-3</v>
      </c>
      <c r="D12" s="127">
        <v>5.6150444198432587E-4</v>
      </c>
      <c r="E12" s="129">
        <v>7.2300000000000001E-4</v>
      </c>
      <c r="F12" s="122">
        <f t="shared" si="1"/>
        <v>-7.0303510642152158</v>
      </c>
      <c r="G12" s="128">
        <f t="shared" si="2"/>
        <v>-6.7822043440858826</v>
      </c>
      <c r="H12" s="128">
        <f t="shared" si="3"/>
        <v>-7.4848908728921772</v>
      </c>
      <c r="I12" s="123">
        <f t="shared" si="4"/>
        <v>-7.2321013358055097</v>
      </c>
      <c r="K12" s="126">
        <f>B12*$K$3</f>
        <v>6.6346587543041047E-4</v>
      </c>
      <c r="L12" s="127">
        <f t="shared" si="5"/>
        <v>8.5032968707177419E-4</v>
      </c>
      <c r="M12" s="135">
        <f t="shared" si="6"/>
        <v>4.211283314882444E-4</v>
      </c>
    </row>
    <row r="13" spans="1:13">
      <c r="A13">
        <v>33</v>
      </c>
      <c r="B13" s="126">
        <v>8.2268866243518073E-4</v>
      </c>
      <c r="C13" s="127">
        <v>1.1741698780536869E-3</v>
      </c>
      <c r="D13" s="127">
        <v>5.8998585768967092E-4</v>
      </c>
      <c r="E13" s="129">
        <v>7.6900000000000004E-4</v>
      </c>
      <c r="F13" s="122">
        <f t="shared" si="1"/>
        <v>-7.1029327248067</v>
      </c>
      <c r="G13" s="128">
        <f t="shared" si="2"/>
        <v>-6.7471938678282113</v>
      </c>
      <c r="H13" s="128">
        <f t="shared" si="3"/>
        <v>-7.4354119913693015</v>
      </c>
      <c r="I13" s="123">
        <f t="shared" si="4"/>
        <v>-7.1704195884586301</v>
      </c>
      <c r="K13" s="126">
        <f t="shared" si="7"/>
        <v>6.1701649682638555E-4</v>
      </c>
      <c r="L13" s="127">
        <f t="shared" si="5"/>
        <v>8.8062740854026513E-4</v>
      </c>
      <c r="M13" s="135">
        <f t="shared" si="6"/>
        <v>4.4248939326725319E-4</v>
      </c>
    </row>
    <row r="14" spans="1:13">
      <c r="A14">
        <v>34</v>
      </c>
      <c r="B14" s="126">
        <v>8.3417590049213999E-4</v>
      </c>
      <c r="C14" s="127">
        <v>1.219117805733514E-3</v>
      </c>
      <c r="D14" s="127">
        <v>6.2199779147603467E-4</v>
      </c>
      <c r="E14" s="129">
        <v>8.1700000000000002E-4</v>
      </c>
      <c r="F14" s="122">
        <f t="shared" si="1"/>
        <v>-7.0890662659832282</v>
      </c>
      <c r="G14" s="128">
        <f t="shared" si="2"/>
        <v>-6.7096277918616476</v>
      </c>
      <c r="H14" s="128">
        <f t="shared" si="3"/>
        <v>-7.3825740159130149</v>
      </c>
      <c r="I14" s="123">
        <f t="shared" si="4"/>
        <v>-7.1098714631042714</v>
      </c>
      <c r="K14" s="126">
        <f t="shared" ref="K14:K20" si="8">B14*$K$3</f>
        <v>6.2563192536910499E-4</v>
      </c>
      <c r="L14" s="127">
        <f t="shared" si="5"/>
        <v>9.1433835430013545E-4</v>
      </c>
      <c r="M14" s="135">
        <f t="shared" si="6"/>
        <v>4.66498343607026E-4</v>
      </c>
    </row>
    <row r="15" spans="1:13">
      <c r="A15">
        <v>35</v>
      </c>
      <c r="B15" s="126">
        <v>9.2850997293164562E-4</v>
      </c>
      <c r="C15" s="127">
        <v>1.268820752543743E-3</v>
      </c>
      <c r="D15" s="127">
        <v>6.5763486229939534E-4</v>
      </c>
      <c r="E15" s="129">
        <v>8.7299999999999997E-4</v>
      </c>
      <c r="F15" s="122">
        <f t="shared" si="1"/>
        <v>-6.9819294363227398</v>
      </c>
      <c r="G15" s="128">
        <f t="shared" si="2"/>
        <v>-6.6696673511772984</v>
      </c>
      <c r="H15" s="128">
        <f t="shared" si="3"/>
        <v>-7.3268607011819675</v>
      </c>
      <c r="I15" s="123">
        <f t="shared" si="4"/>
        <v>-7.0435750021246717</v>
      </c>
      <c r="K15" s="126">
        <f t="shared" si="8"/>
        <v>6.9638247969873424E-4</v>
      </c>
      <c r="L15" s="127">
        <f t="shared" si="5"/>
        <v>9.5161556440780722E-4</v>
      </c>
      <c r="M15" s="135">
        <f t="shared" si="6"/>
        <v>4.932261467245465E-4</v>
      </c>
    </row>
    <row r="16" spans="1:13">
      <c r="A16">
        <v>36</v>
      </c>
      <c r="B16" s="126">
        <v>1.056361572673438E-3</v>
      </c>
      <c r="C16" s="127">
        <v>1.321631347759794E-3</v>
      </c>
      <c r="D16" s="127">
        <v>6.9632284811818818E-4</v>
      </c>
      <c r="E16" s="129">
        <v>9.5E-4</v>
      </c>
      <c r="F16" s="122">
        <f t="shared" si="1"/>
        <v>-6.8529247539380123</v>
      </c>
      <c r="G16" s="128">
        <f t="shared" si="2"/>
        <v>-6.628888435926962</v>
      </c>
      <c r="H16" s="128">
        <f t="shared" si="3"/>
        <v>-7.2696971429419088</v>
      </c>
      <c r="I16" s="123">
        <f t="shared" si="4"/>
        <v>-6.9590485733696879</v>
      </c>
      <c r="K16" s="126">
        <f t="shared" si="8"/>
        <v>7.9227117950507854E-4</v>
      </c>
      <c r="L16" s="127">
        <f t="shared" si="5"/>
        <v>9.9122351081984547E-4</v>
      </c>
      <c r="M16" s="135">
        <f t="shared" si="6"/>
        <v>5.2224213608864113E-4</v>
      </c>
    </row>
    <row r="17" spans="1:13">
      <c r="A17">
        <v>37</v>
      </c>
      <c r="B17" s="126">
        <v>1.1931616666895769E-3</v>
      </c>
      <c r="C17" s="127">
        <v>1.376757124882805E-3</v>
      </c>
      <c r="D17" s="127">
        <v>7.3778384972569009E-4</v>
      </c>
      <c r="E17" s="129">
        <v>1.039E-3</v>
      </c>
      <c r="F17" s="122">
        <f t="shared" si="1"/>
        <v>-6.7311486323151266</v>
      </c>
      <c r="G17" s="128">
        <f t="shared" si="2"/>
        <v>-6.588024454688675</v>
      </c>
      <c r="H17" s="128">
        <f t="shared" si="3"/>
        <v>-7.2118596628139997</v>
      </c>
      <c r="I17" s="123">
        <f t="shared" si="4"/>
        <v>-6.8694965668650463</v>
      </c>
      <c r="K17" s="126">
        <f t="shared" si="8"/>
        <v>8.9487125001718273E-4</v>
      </c>
      <c r="L17" s="127">
        <f t="shared" si="5"/>
        <v>1.0325678436621038E-3</v>
      </c>
      <c r="M17" s="135">
        <f t="shared" si="6"/>
        <v>5.5333788729426756E-4</v>
      </c>
    </row>
    <row r="18" spans="1:13">
      <c r="A18">
        <v>38</v>
      </c>
      <c r="B18" s="126">
        <v>1.385477757578766E-3</v>
      </c>
      <c r="C18" s="127">
        <v>1.435684493659915E-3</v>
      </c>
      <c r="D18" s="127">
        <v>7.8255697033014155E-4</v>
      </c>
      <c r="E18" s="129">
        <v>1.1299999999999999E-3</v>
      </c>
      <c r="F18" s="122">
        <f t="shared" si="1"/>
        <v>-6.5817102475044544</v>
      </c>
      <c r="G18" s="128">
        <f t="shared" si="2"/>
        <v>-6.5461135444323002</v>
      </c>
      <c r="H18" s="128">
        <f t="shared" si="3"/>
        <v>-7.1529438326664332</v>
      </c>
      <c r="I18" s="123">
        <f t="shared" si="4"/>
        <v>-6.7855376462578878</v>
      </c>
      <c r="K18" s="126">
        <f t="shared" si="8"/>
        <v>1.0391083181840745E-3</v>
      </c>
      <c r="L18" s="127">
        <f t="shared" si="5"/>
        <v>1.0767633702449364E-3</v>
      </c>
      <c r="M18" s="135">
        <f t="shared" si="6"/>
        <v>5.8691772774760616E-4</v>
      </c>
    </row>
    <row r="19" spans="1:13">
      <c r="A19">
        <v>39</v>
      </c>
      <c r="B19" s="126">
        <v>1.6798773479397061E-3</v>
      </c>
      <c r="C19" s="127">
        <v>1.4998998638382629E-3</v>
      </c>
      <c r="D19" s="127">
        <v>8.3118131313978381E-4</v>
      </c>
      <c r="E19" s="129">
        <v>1.2260000000000001E-3</v>
      </c>
      <c r="F19" s="122">
        <f t="shared" si="1"/>
        <v>-6.3890344954108693</v>
      </c>
      <c r="G19" s="128">
        <f t="shared" si="2"/>
        <v>-6.5023569305435078</v>
      </c>
      <c r="H19" s="128">
        <f t="shared" si="3"/>
        <v>-7.0926626002176061</v>
      </c>
      <c r="I19" s="123">
        <f t="shared" si="4"/>
        <v>-6.7039984414681175</v>
      </c>
      <c r="K19" s="126">
        <f t="shared" si="8"/>
        <v>1.2599080109547795E-3</v>
      </c>
      <c r="L19" s="127">
        <f t="shared" si="5"/>
        <v>1.1249248978786972E-3</v>
      </c>
      <c r="M19" s="135">
        <f t="shared" si="6"/>
        <v>6.2338598485483783E-4</v>
      </c>
    </row>
    <row r="20" spans="1:13">
      <c r="A20">
        <v>40</v>
      </c>
      <c r="B20" s="126">
        <v>2.122927940371098E-3</v>
      </c>
      <c r="C20" s="127">
        <v>1.5708896451649881E-3</v>
      </c>
      <c r="D20" s="127">
        <v>8.8419598136285703E-4</v>
      </c>
      <c r="E20" s="129">
        <v>1.3370000000000001E-3</v>
      </c>
      <c r="F20" s="122">
        <f t="shared" si="1"/>
        <v>-6.1549590391964237</v>
      </c>
      <c r="G20" s="128">
        <f t="shared" si="2"/>
        <v>-6.4561131671377616</v>
      </c>
      <c r="H20" s="128">
        <f t="shared" si="3"/>
        <v>-7.0308318215238108</v>
      </c>
      <c r="I20" s="123">
        <f t="shared" si="4"/>
        <v>-6.6173269808623312</v>
      </c>
      <c r="K20" s="126">
        <f t="shared" si="8"/>
        <v>1.5921959552783235E-3</v>
      </c>
      <c r="L20" s="127">
        <f t="shared" si="5"/>
        <v>1.178167233873741E-3</v>
      </c>
      <c r="M20" s="135">
        <f t="shared" si="6"/>
        <v>6.6314698602214272E-4</v>
      </c>
    </row>
    <row r="21" spans="1:13">
      <c r="A21">
        <v>41</v>
      </c>
      <c r="B21" s="126">
        <v>2.611535225382094E-3</v>
      </c>
      <c r="C21" s="127">
        <v>1.6448080937233121E-3</v>
      </c>
      <c r="D21" s="127">
        <v>9.3812925492148258E-4</v>
      </c>
      <c r="E21" s="129">
        <v>1.4469999999999999E-3</v>
      </c>
      <c r="F21" s="122">
        <f t="shared" si="1"/>
        <v>-5.9478170216159594</v>
      </c>
      <c r="G21" s="128">
        <f t="shared" si="2"/>
        <v>-6.4101315619207195</v>
      </c>
      <c r="H21" s="128">
        <f t="shared" si="3"/>
        <v>-6.9716228200276245</v>
      </c>
      <c r="I21" s="123">
        <f t="shared" si="4"/>
        <v>-6.5382628313327906</v>
      </c>
      <c r="K21" s="126">
        <f t="shared" si="7"/>
        <v>1.9586514190365707E-3</v>
      </c>
      <c r="L21" s="127">
        <f t="shared" si="5"/>
        <v>1.233606070292484E-3</v>
      </c>
      <c r="M21" s="135">
        <f t="shared" si="6"/>
        <v>7.0359694119111194E-4</v>
      </c>
    </row>
    <row r="22" spans="1:13">
      <c r="A22">
        <v>42</v>
      </c>
      <c r="B22" s="126">
        <v>3.0878343183457259E-3</v>
      </c>
      <c r="C22" s="127">
        <v>1.719851572691198E-3</v>
      </c>
      <c r="D22" s="127">
        <v>9.9188031568328778E-4</v>
      </c>
      <c r="E22" s="129">
        <v>1.573E-3</v>
      </c>
      <c r="F22" s="122">
        <f t="shared" si="1"/>
        <v>-5.7802853016444535</v>
      </c>
      <c r="G22" s="128">
        <f t="shared" si="2"/>
        <v>-6.3655172868273766</v>
      </c>
      <c r="H22" s="128">
        <f t="shared" si="3"/>
        <v>-6.9159081074709539</v>
      </c>
      <c r="I22" s="123">
        <f t="shared" si="4"/>
        <v>-6.454770654905996</v>
      </c>
      <c r="K22" s="126">
        <f>B22*$K$3</f>
        <v>2.3158757387592944E-3</v>
      </c>
      <c r="L22" s="127">
        <f t="shared" si="5"/>
        <v>1.2898886795183985E-3</v>
      </c>
      <c r="M22" s="135">
        <f t="shared" si="6"/>
        <v>7.4391023676246583E-4</v>
      </c>
    </row>
    <row r="23" spans="1:13">
      <c r="A23">
        <v>43</v>
      </c>
      <c r="B23" s="126">
        <v>3.6662368591565261E-3</v>
      </c>
      <c r="C23" s="127">
        <v>1.800569652457896E-3</v>
      </c>
      <c r="D23" s="127">
        <v>1.049544619774775E-3</v>
      </c>
      <c r="E23" s="129">
        <v>1.709E-3</v>
      </c>
      <c r="F23" s="122">
        <f t="shared" si="1"/>
        <v>-5.6085895219527426</v>
      </c>
      <c r="G23" s="128">
        <f t="shared" si="2"/>
        <v>-6.3196521905595011</v>
      </c>
      <c r="H23" s="128">
        <f t="shared" si="3"/>
        <v>-6.8593989043383736</v>
      </c>
      <c r="I23" s="123">
        <f t="shared" si="4"/>
        <v>-6.371846874848683</v>
      </c>
      <c r="K23" s="126">
        <f>B23*$K$3</f>
        <v>2.7496776443673944E-3</v>
      </c>
      <c r="L23" s="127">
        <f t="shared" si="5"/>
        <v>1.350427239343422E-3</v>
      </c>
      <c r="M23" s="135">
        <f t="shared" si="6"/>
        <v>7.8715846483108122E-4</v>
      </c>
    </row>
    <row r="24" spans="1:13">
      <c r="A24">
        <v>44</v>
      </c>
      <c r="B24" s="126">
        <v>4.4611544877090278E-3</v>
      </c>
      <c r="C24" s="127">
        <v>1.891511903412652E-3</v>
      </c>
      <c r="D24" s="127">
        <v>1.115217623322445E-3</v>
      </c>
      <c r="E24" s="129">
        <v>1.8569999999999999E-3</v>
      </c>
      <c r="F24" s="122">
        <f t="shared" si="1"/>
        <v>-5.412347692700596</v>
      </c>
      <c r="G24" s="128">
        <f t="shared" si="2"/>
        <v>-6.2703788208035887</v>
      </c>
      <c r="H24" s="128">
        <f t="shared" si="3"/>
        <v>-6.7987057152471131</v>
      </c>
      <c r="I24" s="123">
        <f t="shared" si="4"/>
        <v>-6.2887929966115683</v>
      </c>
      <c r="K24" s="126">
        <f t="shared" si="7"/>
        <v>3.3458658657817709E-3</v>
      </c>
      <c r="L24" s="127">
        <f t="shared" si="5"/>
        <v>1.4186339275594889E-3</v>
      </c>
      <c r="M24" s="135">
        <f t="shared" si="6"/>
        <v>8.3641321749183383E-4</v>
      </c>
    </row>
    <row r="25" spans="1:13">
      <c r="A25">
        <v>45</v>
      </c>
      <c r="B25" s="126">
        <v>5.5869988438977626E-3</v>
      </c>
      <c r="C25" s="127">
        <v>1.997227895944715E-3</v>
      </c>
      <c r="D25" s="127">
        <v>1.1929947824528019E-3</v>
      </c>
      <c r="E25" s="129">
        <v>2.0140000000000002E-3</v>
      </c>
      <c r="F25" s="122">
        <f t="shared" si="1"/>
        <v>-5.1873130154323412</v>
      </c>
      <c r="G25" s="128">
        <f t="shared" si="2"/>
        <v>-6.2159951119084695</v>
      </c>
      <c r="H25" s="128">
        <f t="shared" si="3"/>
        <v>-6.7312885093438162</v>
      </c>
      <c r="I25" s="123">
        <f t="shared" si="4"/>
        <v>-6.2076324846857664</v>
      </c>
      <c r="K25" s="126">
        <f t="shared" ref="K25:K32" si="9">B25*$K$3</f>
        <v>4.1902491329233217E-3</v>
      </c>
      <c r="L25" s="127">
        <f t="shared" si="5"/>
        <v>1.4979209219585362E-3</v>
      </c>
      <c r="M25" s="135">
        <f t="shared" si="6"/>
        <v>8.9474608683960146E-4</v>
      </c>
    </row>
    <row r="26" spans="1:13">
      <c r="A26">
        <v>46</v>
      </c>
      <c r="B26" s="126">
        <v>6.9579578979762271E-3</v>
      </c>
      <c r="C26" s="127">
        <v>2.1156557395295532E-3</v>
      </c>
      <c r="D26" s="127">
        <v>1.281925866774549E-3</v>
      </c>
      <c r="E26" s="129">
        <v>2.199E-3</v>
      </c>
      <c r="F26" s="122">
        <f t="shared" si="1"/>
        <v>-4.9678692531507984</v>
      </c>
      <c r="G26" s="128">
        <f t="shared" si="2"/>
        <v>-6.158390472206329</v>
      </c>
      <c r="H26" s="128">
        <f t="shared" si="3"/>
        <v>-6.6593917483845608</v>
      </c>
      <c r="I26" s="123">
        <f t="shared" si="4"/>
        <v>-6.1197525674095132</v>
      </c>
      <c r="K26" s="126">
        <f t="shared" si="9"/>
        <v>5.2184684234821699E-3</v>
      </c>
      <c r="L26" s="127">
        <f t="shared" si="5"/>
        <v>1.5867418046471649E-3</v>
      </c>
      <c r="M26" s="135">
        <f t="shared" si="6"/>
        <v>9.6144440008091175E-4</v>
      </c>
    </row>
    <row r="27" spans="1:13">
      <c r="A27">
        <v>47</v>
      </c>
      <c r="B27" s="126">
        <v>8.454704459296249E-3</v>
      </c>
      <c r="C27" s="127">
        <v>2.242146976693359E-3</v>
      </c>
      <c r="D27" s="127">
        <v>1.37799232970006E-3</v>
      </c>
      <c r="E27" s="129">
        <v>2.4109999999999999E-3</v>
      </c>
      <c r="F27" s="122">
        <f t="shared" si="1"/>
        <v>-4.7730322517905668</v>
      </c>
      <c r="G27" s="128">
        <f t="shared" si="2"/>
        <v>-6.1003214004178234</v>
      </c>
      <c r="H27" s="128">
        <f t="shared" si="3"/>
        <v>-6.5871276726615609</v>
      </c>
      <c r="I27" s="123">
        <f t="shared" si="4"/>
        <v>-6.027713679783103</v>
      </c>
      <c r="K27" s="126">
        <f t="shared" si="9"/>
        <v>6.3410283444721872E-3</v>
      </c>
      <c r="L27" s="127">
        <f t="shared" si="5"/>
        <v>1.6816102325200193E-3</v>
      </c>
      <c r="M27" s="135">
        <f t="shared" si="6"/>
        <v>1.0334942472750449E-3</v>
      </c>
    </row>
    <row r="28" spans="1:13">
      <c r="A28">
        <v>48</v>
      </c>
      <c r="B28" s="126">
        <v>1.014137742639986E-2</v>
      </c>
      <c r="C28" s="127">
        <v>2.3773713274014758E-3</v>
      </c>
      <c r="D28" s="127">
        <v>1.4806871530613349E-3</v>
      </c>
      <c r="E28" s="129">
        <v>2.6350000000000002E-3</v>
      </c>
      <c r="F28" s="122">
        <f t="shared" si="1"/>
        <v>-4.5911314491767987</v>
      </c>
      <c r="G28" s="128">
        <f t="shared" si="2"/>
        <v>-6.041759885976103</v>
      </c>
      <c r="H28" s="128">
        <f t="shared" si="3"/>
        <v>-6.5152490063475659</v>
      </c>
      <c r="I28" s="123">
        <f t="shared" si="4"/>
        <v>-5.9388720969888116</v>
      </c>
      <c r="K28" s="126">
        <f t="shared" si="9"/>
        <v>7.6060330697998949E-3</v>
      </c>
      <c r="L28" s="127">
        <f t="shared" si="5"/>
        <v>1.783028495551107E-3</v>
      </c>
      <c r="M28" s="135">
        <f t="shared" si="6"/>
        <v>1.1105153647960012E-3</v>
      </c>
    </row>
    <row r="29" spans="1:13">
      <c r="A29">
        <v>49</v>
      </c>
      <c r="B29" s="126">
        <v>1.208211569782908E-2</v>
      </c>
      <c r="C29" s="127">
        <v>2.5219985116192449E-3</v>
      </c>
      <c r="D29" s="127">
        <v>1.5895033186903761E-3</v>
      </c>
      <c r="E29" s="129">
        <v>2.8809999999999999E-3</v>
      </c>
      <c r="F29" s="122">
        <f t="shared" si="1"/>
        <v>-4.4160289612620183</v>
      </c>
      <c r="G29" s="128">
        <f t="shared" si="2"/>
        <v>-5.9827036315984872</v>
      </c>
      <c r="H29" s="128">
        <f t="shared" si="3"/>
        <v>-6.4443336897323773</v>
      </c>
      <c r="I29" s="123">
        <f t="shared" si="4"/>
        <v>-5.849617822879746</v>
      </c>
      <c r="K29" s="126">
        <f t="shared" si="9"/>
        <v>9.061586773371811E-3</v>
      </c>
      <c r="L29" s="127">
        <f t="shared" si="5"/>
        <v>1.8914988837144338E-3</v>
      </c>
      <c r="M29" s="135">
        <f t="shared" si="6"/>
        <v>1.1921274890177821E-3</v>
      </c>
    </row>
    <row r="30" spans="1:13">
      <c r="A30">
        <v>50</v>
      </c>
      <c r="B30" s="126">
        <v>1.4341058172125949E-2</v>
      </c>
      <c r="C30" s="127">
        <v>2.6766982493120089E-3</v>
      </c>
      <c r="D30" s="127">
        <v>1.703933808419185E-3</v>
      </c>
      <c r="E30" s="129">
        <v>3.1449999999999998E-3</v>
      </c>
      <c r="F30" s="122">
        <f t="shared" si="1"/>
        <v>-4.2446286548925496</v>
      </c>
      <c r="G30" s="128">
        <f t="shared" si="2"/>
        <v>-5.9231712405163517</v>
      </c>
      <c r="H30" s="128">
        <f t="shared" si="3"/>
        <v>-6.3748156961539149</v>
      </c>
      <c r="I30" s="123">
        <f t="shared" si="4"/>
        <v>-5.7619413888297331</v>
      </c>
      <c r="K30" s="126">
        <f t="shared" si="9"/>
        <v>1.0755793629094462E-2</v>
      </c>
      <c r="L30" s="127">
        <f t="shared" si="5"/>
        <v>2.0075236869840068E-3</v>
      </c>
      <c r="M30" s="135">
        <f t="shared" si="6"/>
        <v>1.2779503563143887E-3</v>
      </c>
    </row>
    <row r="31" spans="1:13">
      <c r="A31">
        <v>51</v>
      </c>
      <c r="B31" s="126">
        <v>1.6877668424988959E-2</v>
      </c>
      <c r="C31" s="127">
        <v>2.8404800029696851E-3</v>
      </c>
      <c r="D31" s="127">
        <v>1.8239547036057529E-3</v>
      </c>
      <c r="E31" s="129">
        <v>3.4489999999999998E-3</v>
      </c>
      <c r="F31" s="122">
        <f t="shared" si="1"/>
        <v>-4.0817639258363636</v>
      </c>
      <c r="G31" s="128">
        <f t="shared" si="2"/>
        <v>-5.8637822259602999</v>
      </c>
      <c r="H31" s="128">
        <f t="shared" si="3"/>
        <v>-6.3067482211878323</v>
      </c>
      <c r="I31" s="123">
        <f t="shared" si="4"/>
        <v>-5.6696709450274332</v>
      </c>
      <c r="K31" s="126">
        <f t="shared" si="9"/>
        <v>1.2658251318741719E-2</v>
      </c>
      <c r="L31" s="127">
        <f t="shared" si="5"/>
        <v>2.1303600022272639E-3</v>
      </c>
      <c r="M31" s="135">
        <f t="shared" si="6"/>
        <v>1.3679660277043147E-3</v>
      </c>
    </row>
    <row r="32" spans="1:13">
      <c r="A32">
        <v>52</v>
      </c>
      <c r="B32" s="126">
        <v>1.963148287841043E-2</v>
      </c>
      <c r="C32" s="127">
        <v>3.0128364651107659E-3</v>
      </c>
      <c r="D32" s="127">
        <v>1.9502174656273381E-3</v>
      </c>
      <c r="E32" s="129">
        <v>3.7950000000000002E-3</v>
      </c>
      <c r="F32" s="122">
        <f t="shared" si="1"/>
        <v>-3.9306207321097699</v>
      </c>
      <c r="G32" s="128">
        <f t="shared" si="2"/>
        <v>-5.8048732967388652</v>
      </c>
      <c r="H32" s="128">
        <f t="shared" si="3"/>
        <v>-6.2398143917899356</v>
      </c>
      <c r="I32" s="123">
        <f t="shared" si="4"/>
        <v>-5.5740708681345437</v>
      </c>
      <c r="K32" s="126">
        <f t="shared" si="9"/>
        <v>1.4723612158807822E-2</v>
      </c>
      <c r="L32" s="127">
        <f t="shared" si="5"/>
        <v>2.2596273488330746E-3</v>
      </c>
      <c r="M32" s="135">
        <f t="shared" si="6"/>
        <v>1.4626630992205037E-3</v>
      </c>
    </row>
    <row r="33" spans="1:13">
      <c r="A33">
        <v>53</v>
      </c>
      <c r="B33" s="126">
        <v>2.2636749700373129E-2</v>
      </c>
      <c r="C33" s="127">
        <v>3.1951622007434588E-3</v>
      </c>
      <c r="D33" s="127">
        <v>2.0832281463448411E-3</v>
      </c>
      <c r="E33" s="129">
        <v>4.1780000000000003E-3</v>
      </c>
      <c r="F33" s="122">
        <f t="shared" si="1"/>
        <v>-3.7881806004246714</v>
      </c>
      <c r="G33" s="128">
        <f t="shared" si="2"/>
        <v>-5.7461174253853864</v>
      </c>
      <c r="H33" s="128">
        <f t="shared" si="3"/>
        <v>-6.1738365949310632</v>
      </c>
      <c r="I33" s="123">
        <f t="shared" si="4"/>
        <v>-5.4779226158477625</v>
      </c>
      <c r="K33" s="126">
        <f t="shared" si="7"/>
        <v>1.6977562275279846E-2</v>
      </c>
      <c r="L33" s="127">
        <f t="shared" si="5"/>
        <v>2.3963716505575943E-3</v>
      </c>
      <c r="M33" s="135">
        <f t="shared" si="6"/>
        <v>1.5624211097586308E-3</v>
      </c>
    </row>
    <row r="34" spans="1:13">
      <c r="A34">
        <v>54</v>
      </c>
      <c r="B34" s="126">
        <v>2.592771705885983E-2</v>
      </c>
      <c r="C34" s="127">
        <v>3.388851774875972E-3</v>
      </c>
      <c r="D34" s="127">
        <v>2.2234927976191631E-3</v>
      </c>
      <c r="E34" s="129">
        <v>4.6129999999999999E-3</v>
      </c>
      <c r="F34" s="122">
        <f t="shared" si="1"/>
        <v>-3.6524427257734056</v>
      </c>
      <c r="G34" s="128">
        <f t="shared" si="2"/>
        <v>-5.6872641244409028</v>
      </c>
      <c r="H34" s="128">
        <f t="shared" si="3"/>
        <v>-6.1086759872276009</v>
      </c>
      <c r="I34" s="123">
        <f t="shared" si="4"/>
        <v>-5.3788768744064539</v>
      </c>
      <c r="K34" s="126">
        <f t="shared" si="7"/>
        <v>1.9445787794144874E-2</v>
      </c>
      <c r="L34" s="127">
        <f t="shared" si="5"/>
        <v>2.5416388311569789E-3</v>
      </c>
      <c r="M34" s="135">
        <f t="shared" si="6"/>
        <v>1.6676195982143723E-3</v>
      </c>
    </row>
    <row r="35" spans="1:13">
      <c r="A35">
        <v>55</v>
      </c>
      <c r="B35" s="126">
        <v>2.9538633121853279E-2</v>
      </c>
      <c r="C35" s="127">
        <v>3.5952997525165111E-3</v>
      </c>
      <c r="D35" s="127">
        <v>2.371517471311205E-3</v>
      </c>
      <c r="E35" s="129">
        <v>5.1060000000000003E-3</v>
      </c>
      <c r="F35" s="122">
        <f t="shared" si="1"/>
        <v>-3.522056275060077</v>
      </c>
      <c r="G35" s="128">
        <f t="shared" si="2"/>
        <v>-5.628127910891056</v>
      </c>
      <c r="H35" s="128">
        <f t="shared" si="3"/>
        <v>-6.0442252454752916</v>
      </c>
      <c r="I35" s="123">
        <f t="shared" si="4"/>
        <v>-5.2773389601628446</v>
      </c>
      <c r="K35" s="126">
        <f t="shared" si="7"/>
        <v>2.2153974841389958E-2</v>
      </c>
      <c r="L35" s="127">
        <f t="shared" si="5"/>
        <v>2.6964748143873834E-3</v>
      </c>
      <c r="M35" s="135">
        <f t="shared" si="6"/>
        <v>1.7786381034834036E-3</v>
      </c>
    </row>
    <row r="36" spans="1:13">
      <c r="A36">
        <v>56</v>
      </c>
      <c r="B36" s="126">
        <v>3.3453705491651838E-2</v>
      </c>
      <c r="C36" s="127">
        <v>3.81394512914423E-3</v>
      </c>
      <c r="D36" s="127">
        <v>2.527225462813594E-3</v>
      </c>
      <c r="E36" s="129">
        <v>5.62E-3</v>
      </c>
      <c r="F36" s="122">
        <f t="shared" si="1"/>
        <v>-3.3975927215132713</v>
      </c>
      <c r="G36" s="128">
        <f t="shared" si="2"/>
        <v>-5.5690911586026717</v>
      </c>
      <c r="H36" s="128">
        <f t="shared" si="3"/>
        <v>-5.9806332330232017</v>
      </c>
      <c r="I36" s="123">
        <f t="shared" si="4"/>
        <v>-5.1814236150765369</v>
      </c>
      <c r="K36" s="126">
        <f t="shared" si="7"/>
        <v>2.509027911873888E-2</v>
      </c>
      <c r="L36" s="127">
        <f t="shared" si="5"/>
        <v>2.8604588468581727E-3</v>
      </c>
      <c r="M36" s="135">
        <f t="shared" si="6"/>
        <v>1.8954190971101955E-3</v>
      </c>
    </row>
    <row r="37" spans="1:13">
      <c r="A37">
        <v>57</v>
      </c>
      <c r="B37" s="126">
        <v>3.7638467147007158E-2</v>
      </c>
      <c r="C37" s="127">
        <v>4.04337390657563E-3</v>
      </c>
      <c r="D37" s="127">
        <v>2.6901378414845118E-3</v>
      </c>
      <c r="E37" s="129">
        <v>6.1700000000000001E-3</v>
      </c>
      <c r="F37" s="122">
        <f t="shared" si="1"/>
        <v>-3.2797286891375852</v>
      </c>
      <c r="G37" s="128">
        <f t="shared" si="2"/>
        <v>-5.5106758101422528</v>
      </c>
      <c r="H37" s="128">
        <f t="shared" si="3"/>
        <v>-5.9181628444936747</v>
      </c>
      <c r="I37" s="123">
        <f t="shared" si="4"/>
        <v>-5.0880564410648406</v>
      </c>
      <c r="K37" s="126">
        <f t="shared" si="7"/>
        <v>2.8228850360255367E-2</v>
      </c>
      <c r="L37" s="127">
        <f t="shared" si="5"/>
        <v>3.0325304299317225E-3</v>
      </c>
      <c r="M37" s="135">
        <f t="shared" si="6"/>
        <v>2.0176033811133837E-3</v>
      </c>
    </row>
    <row r="38" spans="1:13">
      <c r="A38">
        <v>58</v>
      </c>
      <c r="B38" s="126">
        <v>4.2099154320582012E-2</v>
      </c>
      <c r="C38" s="127">
        <v>4.2837011593249404E-3</v>
      </c>
      <c r="D38" s="127">
        <v>2.8601573201331898E-3</v>
      </c>
      <c r="E38" s="129">
        <v>6.7759999999999999E-3</v>
      </c>
      <c r="F38" s="122">
        <f t="shared" si="1"/>
        <v>-3.1677276258926574</v>
      </c>
      <c r="G38" s="128">
        <f t="shared" si="2"/>
        <v>-5.4529378862235998</v>
      </c>
      <c r="H38" s="128">
        <f t="shared" si="3"/>
        <v>-5.8568786486236304</v>
      </c>
      <c r="I38" s="123">
        <f t="shared" si="4"/>
        <v>-4.9943683216323835</v>
      </c>
      <c r="K38" s="126">
        <f t="shared" si="7"/>
        <v>3.1574365740436511E-2</v>
      </c>
      <c r="L38" s="127">
        <f t="shared" si="5"/>
        <v>3.2127758694937055E-3</v>
      </c>
      <c r="M38" s="135">
        <f t="shared" si="6"/>
        <v>2.1451179900998925E-3</v>
      </c>
    </row>
    <row r="39" spans="1:13">
      <c r="A39">
        <v>59</v>
      </c>
      <c r="B39" s="126">
        <v>4.6842003245039107E-2</v>
      </c>
      <c r="C39" s="127">
        <v>4.535041961906394E-3</v>
      </c>
      <c r="D39" s="127">
        <v>3.0371866115688618E-3</v>
      </c>
      <c r="E39" s="129">
        <v>7.5009999999999999E-3</v>
      </c>
      <c r="F39" s="122">
        <f t="shared" si="1"/>
        <v>-3.060974973339659</v>
      </c>
      <c r="G39" s="128">
        <f t="shared" si="2"/>
        <v>-5.3959209425567654</v>
      </c>
      <c r="H39" s="128">
        <f t="shared" si="3"/>
        <v>-5.7968236487842395</v>
      </c>
      <c r="I39" s="123">
        <f t="shared" ref="I39:I70" si="10">LN(E39)</f>
        <v>-4.8927189339946375</v>
      </c>
      <c r="K39" s="126">
        <f t="shared" si="7"/>
        <v>3.5131502433779327E-2</v>
      </c>
      <c r="L39" s="127">
        <f t="shared" si="5"/>
        <v>3.4012814714297953E-3</v>
      </c>
      <c r="M39" s="135">
        <f t="shared" si="6"/>
        <v>2.2778899586766463E-3</v>
      </c>
    </row>
    <row r="40" spans="1:13">
      <c r="A40">
        <v>60</v>
      </c>
      <c r="B40" s="126">
        <v>5.1873250153041207E-2</v>
      </c>
      <c r="C40" s="127">
        <v>4.7975113888342174E-3</v>
      </c>
      <c r="D40" s="127">
        <v>3.2211284286007588E-3</v>
      </c>
      <c r="E40" s="129">
        <v>8.2740000000000001E-3</v>
      </c>
      <c r="F40" s="122">
        <f t="shared" si="1"/>
        <v>-2.958952032989778</v>
      </c>
      <c r="G40" s="128">
        <f t="shared" si="2"/>
        <v>-5.3396579561750297</v>
      </c>
      <c r="H40" s="128">
        <f t="shared" si="3"/>
        <v>-5.738023537152027</v>
      </c>
      <c r="I40" s="123">
        <f t="shared" si="10"/>
        <v>-4.7946372109429172</v>
      </c>
      <c r="K40" s="126">
        <f t="shared" si="7"/>
        <v>3.8904937614780907E-2</v>
      </c>
      <c r="L40" s="127">
        <f t="shared" si="5"/>
        <v>3.598133541625663E-3</v>
      </c>
      <c r="M40" s="135">
        <f t="shared" si="6"/>
        <v>2.415846321450569E-3</v>
      </c>
    </row>
    <row r="41" spans="1:13">
      <c r="A41">
        <v>61</v>
      </c>
      <c r="B41" s="126">
        <v>5.7194074380615502E-2</v>
      </c>
      <c r="C41" s="127">
        <v>5.0711911126013762E-3</v>
      </c>
      <c r="D41" s="127">
        <v>3.4120351745065632E-3</v>
      </c>
      <c r="E41" s="129">
        <v>9.044E-3</v>
      </c>
      <c r="F41" s="122">
        <f t="shared" si="1"/>
        <v>-2.8613049807071751</v>
      </c>
      <c r="G41" s="128">
        <f t="shared" si="2"/>
        <v>-5.2841795555196391</v>
      </c>
      <c r="H41" s="128">
        <f t="shared" si="3"/>
        <v>-5.6804463403476468</v>
      </c>
      <c r="I41" s="123">
        <f t="shared" si="10"/>
        <v>-4.7056537245664138</v>
      </c>
      <c r="K41" s="126">
        <f t="shared" si="7"/>
        <v>4.2895555785461628E-2</v>
      </c>
      <c r="L41" s="127">
        <f t="shared" si="5"/>
        <v>3.8033933344510324E-3</v>
      </c>
      <c r="M41" s="135">
        <f t="shared" si="6"/>
        <v>2.5590263808799225E-3</v>
      </c>
    </row>
    <row r="42" spans="1:13">
      <c r="A42">
        <v>62</v>
      </c>
      <c r="B42" s="126">
        <v>6.2800561213726541E-2</v>
      </c>
      <c r="C42" s="127">
        <v>5.3560698816997876E-3</v>
      </c>
      <c r="D42" s="127">
        <v>3.610030957176776E-3</v>
      </c>
      <c r="E42" s="129">
        <v>9.8910000000000005E-3</v>
      </c>
      <c r="F42" s="122">
        <f t="shared" si="1"/>
        <v>-2.7677912690236064</v>
      </c>
      <c r="G42" s="128">
        <f t="shared" si="2"/>
        <v>-5.2295248038709286</v>
      </c>
      <c r="H42" s="128">
        <f t="shared" si="3"/>
        <v>-5.6240389312788874</v>
      </c>
      <c r="I42" s="123">
        <f t="shared" si="10"/>
        <v>-4.6161300262244334</v>
      </c>
      <c r="K42" s="126">
        <f t="shared" si="7"/>
        <v>4.7100420910294906E-2</v>
      </c>
      <c r="L42" s="127">
        <f t="shared" si="5"/>
        <v>4.0170524112748407E-3</v>
      </c>
      <c r="M42" s="135">
        <f t="shared" si="6"/>
        <v>2.7075232178825821E-3</v>
      </c>
    </row>
    <row r="43" spans="1:13">
      <c r="A43">
        <v>63</v>
      </c>
      <c r="B43" s="126">
        <v>6.8691305809943135E-2</v>
      </c>
      <c r="C43" s="127">
        <v>5.6521233846421213E-3</v>
      </c>
      <c r="D43" s="127">
        <v>3.815126046339868E-3</v>
      </c>
      <c r="E43" s="129">
        <v>1.0792E-2</v>
      </c>
      <c r="F43" s="122">
        <f t="shared" si="1"/>
        <v>-2.6781326407471542</v>
      </c>
      <c r="G43" s="128">
        <f t="shared" si="2"/>
        <v>-5.1757239841359031</v>
      </c>
      <c r="H43" s="128">
        <f t="shared" si="3"/>
        <v>-5.5687815751218244</v>
      </c>
      <c r="I43" s="123">
        <f t="shared" si="10"/>
        <v>-4.5289501600766826</v>
      </c>
      <c r="K43" s="126">
        <f t="shared" si="7"/>
        <v>5.1518479357457347E-2</v>
      </c>
      <c r="L43" s="127">
        <f t="shared" si="5"/>
        <v>4.2390925384815908E-3</v>
      </c>
      <c r="M43" s="135">
        <f t="shared" si="6"/>
        <v>2.861344534754901E-3</v>
      </c>
    </row>
    <row r="44" spans="1:13">
      <c r="A44">
        <v>64</v>
      </c>
      <c r="B44" s="126">
        <v>7.4864903326834112E-2</v>
      </c>
      <c r="C44" s="127">
        <v>5.9593273099410368E-3</v>
      </c>
      <c r="D44" s="127">
        <v>4.0273307117243053E-3</v>
      </c>
      <c r="E44" s="129">
        <v>1.1795E-2</v>
      </c>
      <c r="F44" s="122">
        <f t="shared" si="1"/>
        <v>-2.5920700786931734</v>
      </c>
      <c r="G44" s="128">
        <f t="shared" si="2"/>
        <v>-5.122797671734447</v>
      </c>
      <c r="H44" s="128">
        <f t="shared" si="3"/>
        <v>-5.5146514768879795</v>
      </c>
      <c r="I44" s="123">
        <f t="shared" si="10"/>
        <v>-4.440079566122499</v>
      </c>
      <c r="K44" s="126">
        <f t="shared" si="7"/>
        <v>5.6148677495125587E-2</v>
      </c>
      <c r="L44" s="127">
        <f t="shared" si="5"/>
        <v>4.4694954824557771E-3</v>
      </c>
      <c r="M44" s="135">
        <f t="shared" si="6"/>
        <v>3.020498033793229E-3</v>
      </c>
    </row>
    <row r="45" spans="1:13">
      <c r="A45">
        <v>65</v>
      </c>
      <c r="B45" s="126">
        <v>8.1319948921968241E-2</v>
      </c>
      <c r="C45" s="127">
        <v>6.2776573461092019E-3</v>
      </c>
      <c r="D45" s="127">
        <v>4.2466552230585554E-3</v>
      </c>
      <c r="E45" s="129">
        <v>1.2952E-2</v>
      </c>
      <c r="F45" s="122">
        <f t="shared" si="1"/>
        <v>-2.5093639183337446</v>
      </c>
      <c r="G45" s="128">
        <f t="shared" si="2"/>
        <v>-5.0707584021555867</v>
      </c>
      <c r="H45" s="128">
        <f t="shared" si="3"/>
        <v>-5.4616236122370454</v>
      </c>
      <c r="I45" s="123">
        <f t="shared" si="10"/>
        <v>-4.3465050626068029</v>
      </c>
      <c r="K45" s="126">
        <f t="shared" si="7"/>
        <v>6.0989961691476177E-2</v>
      </c>
      <c r="L45" s="127">
        <f t="shared" si="5"/>
        <v>4.7082430095819012E-3</v>
      </c>
      <c r="M45" s="135">
        <f t="shared" si="6"/>
        <v>3.1849914172939163E-3</v>
      </c>
    </row>
    <row r="46" spans="1:13">
      <c r="A46">
        <v>66</v>
      </c>
      <c r="B46" s="126">
        <f>EXP(F46)</f>
        <v>8.5188041230534195E-2</v>
      </c>
      <c r="C46" s="127">
        <f>EXP(G46)</f>
        <v>6.8957122830799519E-3</v>
      </c>
      <c r="D46" s="127">
        <f>EXP(H46)</f>
        <v>4.6986387765155183E-3</v>
      </c>
      <c r="E46" s="129">
        <v>1.4189E-2</v>
      </c>
      <c r="F46" s="133">
        <f>MIN(0,(($A$99-$A46)*F$45)/($A$99-$A$45))</f>
        <v>-2.462894216142379</v>
      </c>
      <c r="G46" s="134">
        <f>MIN(0,(($A$99-$A46)*G$45)/($A$99-$A$45))</f>
        <v>-4.9768554687823343</v>
      </c>
      <c r="H46" s="134">
        <f>MIN(0,(($A$99-$A46)*H$45)/($A$99-$A$45))</f>
        <v>-5.3604824342326554</v>
      </c>
      <c r="I46" s="123">
        <f t="shared" si="10"/>
        <v>-4.2552882624569603</v>
      </c>
      <c r="K46" s="126">
        <f t="shared" si="7"/>
        <v>6.3891030922900646E-2</v>
      </c>
      <c r="L46" s="127">
        <f t="shared" si="5"/>
        <v>5.1717842123099635E-3</v>
      </c>
      <c r="M46" s="135">
        <f t="shared" si="6"/>
        <v>3.5239790823866387E-3</v>
      </c>
    </row>
    <row r="47" spans="1:13">
      <c r="A47">
        <v>67</v>
      </c>
      <c r="B47" s="126">
        <f t="shared" ref="B47:B99" si="11">EXP(F47)</f>
        <v>8.9240124531543397E-2</v>
      </c>
      <c r="C47" s="127">
        <f t="shared" ref="C47:C99" si="12">EXP(G47)</f>
        <v>7.5746166554456736E-3</v>
      </c>
      <c r="D47" s="127">
        <f t="shared" ref="D47:D99" si="13">EXP(H47)</f>
        <v>5.1987282208124808E-3</v>
      </c>
      <c r="E47" s="129">
        <v>1.5502999999999999E-2</v>
      </c>
      <c r="F47" s="133">
        <f t="shared" ref="F47:F110" si="14">MIN(0,(($A$99-$A47)*$F$45)/($A$99-$A$45))</f>
        <v>-2.4164245139510134</v>
      </c>
      <c r="G47" s="134">
        <f t="shared" ref="G47:H101" si="15">MIN(0,(($A$99-$A47)*G$45)/($A$99-$A$45))</f>
        <v>-4.8829525354090837</v>
      </c>
      <c r="H47" s="134">
        <f t="shared" si="15"/>
        <v>-5.2593412562282662</v>
      </c>
      <c r="I47" s="123">
        <f t="shared" si="10"/>
        <v>-4.1667217253979123</v>
      </c>
      <c r="K47" s="126">
        <f t="shared" si="7"/>
        <v>6.6930093398657547E-2</v>
      </c>
      <c r="L47" s="127">
        <f t="shared" si="5"/>
        <v>5.6809624915842554E-3</v>
      </c>
      <c r="M47" s="135">
        <f t="shared" si="6"/>
        <v>3.8990461656093606E-3</v>
      </c>
    </row>
    <row r="48" spans="1:13">
      <c r="A48">
        <v>68</v>
      </c>
      <c r="B48" s="126">
        <f t="shared" si="11"/>
        <v>9.3484950603030054E-2</v>
      </c>
      <c r="C48" s="127">
        <f t="shared" si="12"/>
        <v>8.320361279825432E-3</v>
      </c>
      <c r="D48" s="127">
        <f t="shared" si="13"/>
        <v>5.7520436022781519E-3</v>
      </c>
      <c r="E48" s="129">
        <v>1.6983000000000002E-2</v>
      </c>
      <c r="F48" s="133">
        <f t="shared" si="14"/>
        <v>-2.3699548117596474</v>
      </c>
      <c r="G48" s="134">
        <f t="shared" si="15"/>
        <v>-4.7890496020358322</v>
      </c>
      <c r="H48" s="134">
        <f t="shared" si="15"/>
        <v>-5.1582000782238762</v>
      </c>
      <c r="I48" s="123">
        <f t="shared" si="10"/>
        <v>-4.0755424352595044</v>
      </c>
      <c r="K48" s="126">
        <f t="shared" si="7"/>
        <v>7.0113712952272533E-2</v>
      </c>
      <c r="L48" s="127">
        <f t="shared" si="5"/>
        <v>6.240270959869074E-3</v>
      </c>
      <c r="M48" s="135">
        <f t="shared" si="6"/>
        <v>4.3140327017086137E-3</v>
      </c>
    </row>
    <row r="49" spans="1:13">
      <c r="A49">
        <v>69</v>
      </c>
      <c r="B49" s="126">
        <f t="shared" si="11"/>
        <v>9.7931687513074489E-2</v>
      </c>
      <c r="C49" s="127">
        <f t="shared" si="12"/>
        <v>9.1395267874114002E-3</v>
      </c>
      <c r="D49" s="127">
        <f t="shared" si="13"/>
        <v>6.364249908285869E-3</v>
      </c>
      <c r="E49" s="129">
        <v>1.8651999999999998E-2</v>
      </c>
      <c r="F49" s="133">
        <f t="shared" si="14"/>
        <v>-2.3234851095682822</v>
      </c>
      <c r="G49" s="134">
        <f t="shared" si="15"/>
        <v>-4.6951466686625807</v>
      </c>
      <c r="H49" s="134">
        <f t="shared" si="15"/>
        <v>-5.057058900219487</v>
      </c>
      <c r="I49" s="123">
        <f t="shared" si="10"/>
        <v>-3.9818019000360625</v>
      </c>
      <c r="K49" s="126">
        <f t="shared" si="7"/>
        <v>7.3448765634805874E-2</v>
      </c>
      <c r="L49" s="127">
        <f t="shared" si="5"/>
        <v>6.8546450905585497E-3</v>
      </c>
      <c r="M49" s="135">
        <f t="shared" si="6"/>
        <v>4.7731874312144018E-3</v>
      </c>
    </row>
    <row r="50" spans="1:13">
      <c r="A50">
        <v>70</v>
      </c>
      <c r="B50" s="126">
        <f t="shared" si="11"/>
        <v>0.10258993942119729</v>
      </c>
      <c r="C50" s="127">
        <f t="shared" si="12"/>
        <v>1.0039341693052442E-2</v>
      </c>
      <c r="D50" s="127">
        <f t="shared" si="13"/>
        <v>7.0416150668737723E-3</v>
      </c>
      <c r="E50" s="129">
        <v>2.0562E-2</v>
      </c>
      <c r="F50" s="133">
        <f t="shared" si="14"/>
        <v>-2.2770154073769167</v>
      </c>
      <c r="G50" s="134">
        <f t="shared" si="15"/>
        <v>-4.6012437352893283</v>
      </c>
      <c r="H50" s="134">
        <f t="shared" si="15"/>
        <v>-4.955917722215097</v>
      </c>
      <c r="I50" s="123">
        <f t="shared" si="10"/>
        <v>-3.8843105668616102</v>
      </c>
      <c r="K50" s="126">
        <f t="shared" si="7"/>
        <v>7.6942454565897961E-2</v>
      </c>
      <c r="L50" s="127">
        <f t="shared" si="5"/>
        <v>7.5295062697893315E-3</v>
      </c>
      <c r="M50" s="135">
        <f t="shared" si="6"/>
        <v>5.2812113001553295E-3</v>
      </c>
    </row>
    <row r="51" spans="1:13">
      <c r="A51">
        <v>71</v>
      </c>
      <c r="B51" s="126">
        <f t="shared" si="11"/>
        <v>0.10746976732163246</v>
      </c>
      <c r="C51" s="127">
        <f t="shared" si="12"/>
        <v>1.1027746181419903E-2</v>
      </c>
      <c r="D51" s="127">
        <f t="shared" si="13"/>
        <v>7.7910741194288907E-3</v>
      </c>
      <c r="E51" s="129">
        <v>2.2766000000000002E-2</v>
      </c>
      <c r="F51" s="133">
        <f t="shared" si="14"/>
        <v>-2.2305457051855506</v>
      </c>
      <c r="G51" s="134">
        <f t="shared" si="15"/>
        <v>-4.5073408019160768</v>
      </c>
      <c r="H51" s="134">
        <f t="shared" si="15"/>
        <v>-4.8547765442107069</v>
      </c>
      <c r="I51" s="123">
        <f t="shared" si="10"/>
        <v>-3.7824870840791123</v>
      </c>
      <c r="K51" s="126">
        <f t="shared" si="7"/>
        <v>8.0602325491224341E-2</v>
      </c>
      <c r="L51" s="127">
        <f t="shared" si="5"/>
        <v>8.2708096360649269E-3</v>
      </c>
      <c r="M51" s="135">
        <f t="shared" si="6"/>
        <v>5.8433055895716676E-3</v>
      </c>
    </row>
    <row r="52" spans="1:13">
      <c r="A52">
        <v>72</v>
      </c>
      <c r="B52" s="126">
        <f t="shared" si="11"/>
        <v>0.11258171077328259</v>
      </c>
      <c r="C52" s="127">
        <f t="shared" si="12"/>
        <v>1.2113462173120398E-2</v>
      </c>
      <c r="D52" s="127">
        <f t="shared" si="13"/>
        <v>8.6203002234519592E-3</v>
      </c>
      <c r="E52" s="129">
        <v>2.5307E-2</v>
      </c>
      <c r="F52" s="133">
        <f t="shared" si="14"/>
        <v>-2.184076002994185</v>
      </c>
      <c r="G52" s="134">
        <f t="shared" si="15"/>
        <v>-4.4134378685428253</v>
      </c>
      <c r="H52" s="134">
        <f t="shared" si="15"/>
        <v>-4.7536353662063169</v>
      </c>
      <c r="I52" s="123">
        <f t="shared" si="10"/>
        <v>-3.676674241675574</v>
      </c>
      <c r="K52" s="126">
        <f t="shared" si="7"/>
        <v>8.4436283079961941E-2</v>
      </c>
      <c r="L52" s="127">
        <f t="shared" si="5"/>
        <v>9.0850966298402988E-3</v>
      </c>
      <c r="M52" s="135">
        <f t="shared" si="6"/>
        <v>6.4652251675889694E-3</v>
      </c>
    </row>
    <row r="53" spans="1:13">
      <c r="A53">
        <v>73</v>
      </c>
      <c r="B53" s="126">
        <f t="shared" si="11"/>
        <v>0.11793681066328865</v>
      </c>
      <c r="C53" s="127">
        <f t="shared" si="12"/>
        <v>1.3306070289035746E-2</v>
      </c>
      <c r="D53" s="127">
        <f t="shared" si="13"/>
        <v>9.5377832123477412E-3</v>
      </c>
      <c r="E53" s="129">
        <v>2.8334000000000002E-2</v>
      </c>
      <c r="F53" s="133">
        <f t="shared" si="14"/>
        <v>-2.1376063008028194</v>
      </c>
      <c r="G53" s="134">
        <f t="shared" si="15"/>
        <v>-4.3195349351695738</v>
      </c>
      <c r="H53" s="134">
        <f t="shared" si="15"/>
        <v>-4.6524941882019277</v>
      </c>
      <c r="I53" s="123">
        <f t="shared" si="10"/>
        <v>-3.5636927820249777</v>
      </c>
      <c r="K53" s="126">
        <f t="shared" si="7"/>
        <v>8.8452607997466487E-2</v>
      </c>
      <c r="L53" s="127">
        <f t="shared" si="5"/>
        <v>9.9795527167768107E-3</v>
      </c>
      <c r="M53" s="135">
        <f t="shared" si="6"/>
        <v>7.1533374092608059E-3</v>
      </c>
    </row>
    <row r="54" spans="1:13">
      <c r="A54">
        <v>74</v>
      </c>
      <c r="B54" s="126">
        <f t="shared" si="11"/>
        <v>0.12354663305337905</v>
      </c>
      <c r="C54" s="127">
        <f t="shared" si="12"/>
        <v>1.4616094392042154E-2</v>
      </c>
      <c r="D54" s="127">
        <f t="shared" si="13"/>
        <v>1.0552916516556569E-2</v>
      </c>
      <c r="E54" s="129">
        <v>3.1824999999999999E-2</v>
      </c>
      <c r="F54" s="133">
        <f t="shared" si="14"/>
        <v>-2.0911365986114538</v>
      </c>
      <c r="G54" s="134">
        <f t="shared" si="15"/>
        <v>-4.2256320017963223</v>
      </c>
      <c r="H54" s="134">
        <f t="shared" si="15"/>
        <v>-4.5513530101975377</v>
      </c>
      <c r="I54" s="123">
        <f t="shared" si="10"/>
        <v>-3.4475031345386671</v>
      </c>
      <c r="K54" s="126">
        <f t="shared" si="7"/>
        <v>9.2659974790034294E-2</v>
      </c>
      <c r="L54" s="127">
        <f t="shared" si="5"/>
        <v>1.0962070794031616E-2</v>
      </c>
      <c r="M54" s="135">
        <f t="shared" si="6"/>
        <v>7.9146873874174264E-3</v>
      </c>
    </row>
    <row r="55" spans="1:13">
      <c r="A55">
        <v>75</v>
      </c>
      <c r="B55" s="126">
        <f t="shared" si="11"/>
        <v>0.12942329416050249</v>
      </c>
      <c r="C55" s="127">
        <f t="shared" si="12"/>
        <v>1.6055094452125225E-2</v>
      </c>
      <c r="D55" s="127">
        <f t="shared" si="13"/>
        <v>1.167609333594823E-2</v>
      </c>
      <c r="E55" s="129">
        <v>3.5833999999999998E-2</v>
      </c>
      <c r="F55" s="133">
        <f t="shared" si="14"/>
        <v>-2.0446668964200883</v>
      </c>
      <c r="G55" s="134">
        <f t="shared" si="15"/>
        <v>-4.1317290684230707</v>
      </c>
      <c r="H55" s="134">
        <f t="shared" si="15"/>
        <v>-4.4502118321931485</v>
      </c>
      <c r="I55" s="123">
        <f t="shared" si="10"/>
        <v>-3.3288581156044308</v>
      </c>
      <c r="K55" s="126">
        <f t="shared" si="7"/>
        <v>9.7067470620376878E-2</v>
      </c>
      <c r="L55" s="127">
        <f t="shared" si="5"/>
        <v>1.2041320839093919E-2</v>
      </c>
      <c r="M55" s="135">
        <f t="shared" si="6"/>
        <v>8.757070001961173E-3</v>
      </c>
    </row>
    <row r="56" spans="1:13">
      <c r="A56">
        <v>76</v>
      </c>
      <c r="B56" s="126">
        <f t="shared" si="11"/>
        <v>0.13557948652569798</v>
      </c>
      <c r="C56" s="127">
        <f t="shared" si="12"/>
        <v>1.7635768554355048E-2</v>
      </c>
      <c r="D56" s="127">
        <f t="shared" si="13"/>
        <v>1.2918813048116465E-2</v>
      </c>
      <c r="E56" s="129">
        <v>4.0465000000000001E-2</v>
      </c>
      <c r="F56" s="133">
        <f t="shared" si="14"/>
        <v>-1.9981971942287227</v>
      </c>
      <c r="G56" s="134">
        <f t="shared" si="15"/>
        <v>-4.0378261350498192</v>
      </c>
      <c r="H56" s="134">
        <f t="shared" si="15"/>
        <v>-4.3490706541887585</v>
      </c>
      <c r="I56" s="123">
        <f t="shared" si="10"/>
        <v>-3.2073178760344718</v>
      </c>
      <c r="K56" s="126">
        <f t="shared" si="7"/>
        <v>0.1016846148942735</v>
      </c>
      <c r="L56" s="127">
        <f t="shared" si="5"/>
        <v>1.3226826415766287E-2</v>
      </c>
      <c r="M56" s="135">
        <f t="shared" si="6"/>
        <v>9.6891097860873493E-3</v>
      </c>
    </row>
    <row r="57" spans="1:13">
      <c r="A57">
        <v>77</v>
      </c>
      <c r="B57" s="126">
        <f t="shared" si="11"/>
        <v>0.1420285064277223</v>
      </c>
      <c r="C57" s="127">
        <f t="shared" si="12"/>
        <v>1.9372064949864452E-2</v>
      </c>
      <c r="D57" s="127">
        <f t="shared" si="13"/>
        <v>1.4293798942009779E-2</v>
      </c>
      <c r="E57" s="129">
        <v>4.5643000000000003E-2</v>
      </c>
      <c r="F57" s="133">
        <f t="shared" si="14"/>
        <v>-1.9517274920373568</v>
      </c>
      <c r="G57" s="134">
        <f t="shared" si="15"/>
        <v>-3.9439232016765677</v>
      </c>
      <c r="H57" s="134">
        <f t="shared" si="15"/>
        <v>-4.2479294761843684</v>
      </c>
      <c r="I57" s="123">
        <f t="shared" si="10"/>
        <v>-3.086905024334305</v>
      </c>
      <c r="K57" s="126">
        <f t="shared" si="7"/>
        <v>0.10652137982079173</v>
      </c>
      <c r="L57" s="127">
        <f t="shared" si="5"/>
        <v>1.4529048712398339E-2</v>
      </c>
      <c r="M57" s="135">
        <f t="shared" si="6"/>
        <v>1.0720349206507334E-2</v>
      </c>
    </row>
    <row r="58" spans="1:13">
      <c r="A58">
        <v>78</v>
      </c>
      <c r="B58" s="126">
        <f t="shared" si="11"/>
        <v>0.14878428260064328</v>
      </c>
      <c r="C58" s="127">
        <f t="shared" si="12"/>
        <v>2.1279305138595429E-2</v>
      </c>
      <c r="D58" s="127">
        <f t="shared" si="13"/>
        <v>1.58151284822864E-2</v>
      </c>
      <c r="E58" s="129">
        <v>5.1406E-2</v>
      </c>
      <c r="F58" s="133">
        <f t="shared" si="14"/>
        <v>-1.9052577898459913</v>
      </c>
      <c r="G58" s="134">
        <f t="shared" si="15"/>
        <v>-3.8500202683033158</v>
      </c>
      <c r="H58" s="134">
        <f t="shared" si="15"/>
        <v>-4.1467882981799784</v>
      </c>
      <c r="I58" s="123">
        <f t="shared" si="10"/>
        <v>-2.9680003818161014</v>
      </c>
      <c r="K58" s="126">
        <f t="shared" si="7"/>
        <v>0.11158821195048246</v>
      </c>
      <c r="L58" s="127">
        <f t="shared" si="5"/>
        <v>1.5959478853946572E-2</v>
      </c>
      <c r="M58" s="135">
        <f t="shared" si="6"/>
        <v>1.1861346361714799E-2</v>
      </c>
    </row>
    <row r="59" spans="1:13">
      <c r="A59">
        <v>79</v>
      </c>
      <c r="B59" s="126">
        <f t="shared" si="11"/>
        <v>0.15586140631742393</v>
      </c>
      <c r="C59" s="127">
        <f t="shared" si="12"/>
        <v>2.337431906992558E-2</v>
      </c>
      <c r="D59" s="127">
        <f t="shared" si="13"/>
        <v>1.7498377438073746E-2</v>
      </c>
      <c r="E59" s="129">
        <v>5.7695999999999997E-2</v>
      </c>
      <c r="F59" s="133">
        <f t="shared" si="14"/>
        <v>-1.8587880876546254</v>
      </c>
      <c r="G59" s="134">
        <f t="shared" si="15"/>
        <v>-3.7561173349300643</v>
      </c>
      <c r="H59" s="134">
        <f t="shared" si="15"/>
        <v>-4.0456471201755893</v>
      </c>
      <c r="I59" s="123">
        <f t="shared" si="10"/>
        <v>-2.8525674319612304</v>
      </c>
      <c r="K59" s="126">
        <f t="shared" si="7"/>
        <v>0.11689605473806794</v>
      </c>
      <c r="L59" s="127">
        <f t="shared" si="5"/>
        <v>1.7530739302444184E-2</v>
      </c>
      <c r="M59" s="135">
        <f t="shared" si="6"/>
        <v>1.312378307855531E-2</v>
      </c>
    </row>
    <row r="60" spans="1:13">
      <c r="A60">
        <v>80</v>
      </c>
      <c r="B60" s="126">
        <f t="shared" si="11"/>
        <v>0.16327516290447253</v>
      </c>
      <c r="C60" s="127">
        <f t="shared" si="12"/>
        <v>2.5675593654217878E-2</v>
      </c>
      <c r="D60" s="127">
        <f t="shared" si="13"/>
        <v>1.9360779351760418E-2</v>
      </c>
      <c r="E60" s="129">
        <v>6.4610000000000001E-2</v>
      </c>
      <c r="F60" s="133">
        <f t="shared" si="14"/>
        <v>-1.8123183854632601</v>
      </c>
      <c r="G60" s="134">
        <f t="shared" si="15"/>
        <v>-3.6622144015568128</v>
      </c>
      <c r="H60" s="134">
        <f t="shared" si="15"/>
        <v>-3.9445059421711992</v>
      </c>
      <c r="I60" s="123">
        <f t="shared" si="10"/>
        <v>-2.739386081412063</v>
      </c>
      <c r="K60" s="126">
        <f t="shared" si="7"/>
        <v>0.12245637217835439</v>
      </c>
      <c r="L60" s="127">
        <f t="shared" si="5"/>
        <v>1.925669524066341E-2</v>
      </c>
      <c r="M60" s="135">
        <f t="shared" si="6"/>
        <v>1.4520584513820312E-2</v>
      </c>
    </row>
    <row r="61" spans="1:13">
      <c r="A61">
        <v>81</v>
      </c>
      <c r="B61" s="126">
        <f t="shared" si="11"/>
        <v>0.17104156475522464</v>
      </c>
      <c r="C61" s="127">
        <f t="shared" si="12"/>
        <v>2.8203435895795381E-2</v>
      </c>
      <c r="D61" s="127">
        <f t="shared" si="13"/>
        <v>2.1421401980503591E-2</v>
      </c>
      <c r="E61" s="129">
        <v>7.2387999999999994E-2</v>
      </c>
      <c r="F61" s="133">
        <f t="shared" si="14"/>
        <v>-1.7658486832718945</v>
      </c>
      <c r="G61" s="134">
        <f t="shared" si="15"/>
        <v>-3.5683114681835608</v>
      </c>
      <c r="H61" s="134">
        <f t="shared" si="15"/>
        <v>-3.8433647641668096</v>
      </c>
      <c r="I61" s="123">
        <f t="shared" si="10"/>
        <v>-2.6257147391841826</v>
      </c>
      <c r="K61" s="126">
        <f t="shared" si="7"/>
        <v>0.12828117356641849</v>
      </c>
      <c r="L61" s="127">
        <f t="shared" si="5"/>
        <v>2.1152576921846536E-2</v>
      </c>
      <c r="M61" s="135">
        <f t="shared" si="6"/>
        <v>1.6066051485377694E-2</v>
      </c>
    </row>
    <row r="62" spans="1:13">
      <c r="A62">
        <v>82</v>
      </c>
      <c r="B62" s="126">
        <f t="shared" si="11"/>
        <v>0.17917738591406016</v>
      </c>
      <c r="C62" s="127">
        <f t="shared" si="12"/>
        <v>3.0980152086865907E-2</v>
      </c>
      <c r="D62" s="127">
        <f t="shared" si="13"/>
        <v>2.3701342516906417E-2</v>
      </c>
      <c r="E62" s="129">
        <v>8.1129000000000007E-2</v>
      </c>
      <c r="F62" s="133">
        <f t="shared" si="14"/>
        <v>-1.7193789810805287</v>
      </c>
      <c r="G62" s="134">
        <f t="shared" si="15"/>
        <v>-3.4744085348103093</v>
      </c>
      <c r="H62" s="134">
        <f t="shared" si="15"/>
        <v>-3.7422235861624205</v>
      </c>
      <c r="I62" s="123">
        <f t="shared" si="10"/>
        <v>-2.5117147985478367</v>
      </c>
      <c r="K62" s="126">
        <f t="shared" si="7"/>
        <v>0.13438303943554511</v>
      </c>
      <c r="L62" s="127">
        <f t="shared" si="5"/>
        <v>2.3235114065149429E-2</v>
      </c>
      <c r="M62" s="135">
        <f t="shared" si="6"/>
        <v>1.7776006887679812E-2</v>
      </c>
    </row>
    <row r="63" spans="1:13">
      <c r="A63">
        <v>83</v>
      </c>
      <c r="B63" s="126">
        <f t="shared" si="11"/>
        <v>0.18770019830525064</v>
      </c>
      <c r="C63" s="127">
        <f t="shared" si="12"/>
        <v>3.4030244643647331E-2</v>
      </c>
      <c r="D63" s="127">
        <f t="shared" si="13"/>
        <v>2.6223943587585397E-2</v>
      </c>
      <c r="E63" s="129">
        <v>9.0986999999999998E-2</v>
      </c>
      <c r="F63" s="133">
        <f t="shared" si="14"/>
        <v>-1.6729092788891631</v>
      </c>
      <c r="G63" s="134">
        <f t="shared" si="15"/>
        <v>-3.3805056014370582</v>
      </c>
      <c r="H63" s="134">
        <f t="shared" si="15"/>
        <v>-3.6410824081580304</v>
      </c>
      <c r="I63" s="123">
        <f t="shared" si="10"/>
        <v>-2.3970386398131978</v>
      </c>
      <c r="K63" s="126">
        <f t="shared" si="7"/>
        <v>0.14077514872893798</v>
      </c>
      <c r="L63" s="127">
        <f t="shared" si="5"/>
        <v>2.5522683482735498E-2</v>
      </c>
      <c r="M63" s="135">
        <f t="shared" si="6"/>
        <v>1.9667957690689047E-2</v>
      </c>
    </row>
    <row r="64" spans="1:13">
      <c r="A64">
        <v>84</v>
      </c>
      <c r="B64" s="126">
        <f t="shared" si="11"/>
        <v>0.19662840968518561</v>
      </c>
      <c r="C64" s="127">
        <f t="shared" si="12"/>
        <v>3.7380628321623047E-2</v>
      </c>
      <c r="D64" s="127">
        <f t="shared" si="13"/>
        <v>2.9015032241077515E-2</v>
      </c>
      <c r="E64" s="129">
        <v>0.101636</v>
      </c>
      <c r="F64" s="133">
        <f t="shared" si="14"/>
        <v>-1.6264395766977973</v>
      </c>
      <c r="G64" s="134">
        <f t="shared" si="15"/>
        <v>-3.2866026680638063</v>
      </c>
      <c r="H64" s="134">
        <f t="shared" si="15"/>
        <v>-3.5399412301536408</v>
      </c>
      <c r="I64" s="123">
        <f t="shared" si="10"/>
        <v>-2.2863574758893948</v>
      </c>
      <c r="K64" s="126">
        <f t="shared" si="7"/>
        <v>0.14747130726388921</v>
      </c>
      <c r="L64" s="127">
        <f t="shared" si="5"/>
        <v>2.8035471241217285E-2</v>
      </c>
      <c r="M64" s="135">
        <f t="shared" si="6"/>
        <v>2.1761274180808136E-2</v>
      </c>
    </row>
    <row r="65" spans="1:13">
      <c r="A65">
        <v>85</v>
      </c>
      <c r="B65" s="126">
        <f t="shared" si="11"/>
        <v>0.20598130339984644</v>
      </c>
      <c r="C65" s="127">
        <f t="shared" si="12"/>
        <v>4.1060867717863214E-2</v>
      </c>
      <c r="D65" s="127">
        <f t="shared" si="13"/>
        <v>3.2103184371907983E-2</v>
      </c>
      <c r="E65" s="129">
        <v>0.112763</v>
      </c>
      <c r="F65" s="133">
        <f t="shared" si="14"/>
        <v>-1.5799698745064319</v>
      </c>
      <c r="G65" s="134">
        <f t="shared" si="15"/>
        <v>-3.1926997346905548</v>
      </c>
      <c r="H65" s="134">
        <f t="shared" si="15"/>
        <v>-3.4388000521492508</v>
      </c>
      <c r="I65" s="123">
        <f t="shared" si="10"/>
        <v>-2.1824670079109953</v>
      </c>
      <c r="K65" s="126">
        <f t="shared" si="7"/>
        <v>0.15448597754988483</v>
      </c>
      <c r="L65" s="127">
        <f t="shared" si="5"/>
        <v>3.0795650788397411E-2</v>
      </c>
      <c r="M65" s="135">
        <f t="shared" si="6"/>
        <v>2.4077388278930988E-2</v>
      </c>
    </row>
    <row r="66" spans="1:13">
      <c r="A66">
        <v>86</v>
      </c>
      <c r="B66" s="126">
        <f t="shared" si="11"/>
        <v>0.21577908003339882</v>
      </c>
      <c r="C66" s="127">
        <f t="shared" si="12"/>
        <v>4.5103438156190334E-2</v>
      </c>
      <c r="D66" s="127">
        <f t="shared" si="13"/>
        <v>3.5520017288060854E-2</v>
      </c>
      <c r="E66" s="129">
        <v>0.12490999999999999</v>
      </c>
      <c r="F66" s="133">
        <f t="shared" si="14"/>
        <v>-1.5335001723150663</v>
      </c>
      <c r="G66" s="134">
        <f t="shared" si="15"/>
        <v>-3.0987968013173028</v>
      </c>
      <c r="H66" s="134">
        <f t="shared" si="15"/>
        <v>-3.3376588741448612</v>
      </c>
      <c r="I66" s="123">
        <f t="shared" si="10"/>
        <v>-2.0801618010043192</v>
      </c>
      <c r="K66" s="126">
        <f t="shared" si="7"/>
        <v>0.16183431002504911</v>
      </c>
      <c r="L66" s="127">
        <f t="shared" si="5"/>
        <v>3.3827578617142751E-2</v>
      </c>
      <c r="M66" s="135">
        <f t="shared" si="6"/>
        <v>2.664001296604564E-2</v>
      </c>
    </row>
    <row r="67" spans="1:13">
      <c r="A67">
        <v>87</v>
      </c>
      <c r="B67" s="126">
        <f t="shared" si="11"/>
        <v>0.22604290103785538</v>
      </c>
      <c r="C67" s="127">
        <f t="shared" si="12"/>
        <v>4.9544012257302351E-2</v>
      </c>
      <c r="D67" s="127">
        <f t="shared" si="13"/>
        <v>3.9300513417235124E-2</v>
      </c>
      <c r="E67" s="129">
        <v>0.13803099999999999</v>
      </c>
      <c r="F67" s="133">
        <f t="shared" si="14"/>
        <v>-1.4870304701237005</v>
      </c>
      <c r="G67" s="134">
        <f t="shared" si="15"/>
        <v>-3.0048938679440513</v>
      </c>
      <c r="H67" s="134">
        <f t="shared" si="15"/>
        <v>-3.2365176961404711</v>
      </c>
      <c r="I67" s="123">
        <f t="shared" si="10"/>
        <v>-1.980276981371039</v>
      </c>
      <c r="K67" s="126">
        <f t="shared" si="7"/>
        <v>0.16953217577839153</v>
      </c>
      <c r="L67" s="127">
        <f t="shared" si="5"/>
        <v>3.7158009192976765E-2</v>
      </c>
      <c r="M67" s="135">
        <f t="shared" si="6"/>
        <v>2.9475385062926344E-2</v>
      </c>
    </row>
    <row r="68" spans="1:13">
      <c r="A68">
        <v>88</v>
      </c>
      <c r="B68" s="126">
        <f t="shared" si="11"/>
        <v>0.23679493443804187</v>
      </c>
      <c r="C68" s="127">
        <f t="shared" si="12"/>
        <v>5.4421774722618048E-2</v>
      </c>
      <c r="D68" s="127">
        <f t="shared" si="13"/>
        <v>4.3483378466075008E-2</v>
      </c>
      <c r="E68" s="129">
        <v>0.15248900000000001</v>
      </c>
      <c r="F68" s="133">
        <f t="shared" si="14"/>
        <v>-1.4405607679323349</v>
      </c>
      <c r="G68" s="134">
        <f t="shared" si="15"/>
        <v>-2.9109909345707998</v>
      </c>
      <c r="H68" s="134">
        <f t="shared" si="15"/>
        <v>-3.1353765181360815</v>
      </c>
      <c r="I68" s="123">
        <f t="shared" si="10"/>
        <v>-1.880662816683788</v>
      </c>
      <c r="K68" s="126">
        <f t="shared" si="7"/>
        <v>0.17759620082853139</v>
      </c>
      <c r="L68" s="127">
        <f t="shared" si="5"/>
        <v>4.0816331041963534E-2</v>
      </c>
      <c r="M68" s="135">
        <f t="shared" si="6"/>
        <v>3.2612533849556258E-2</v>
      </c>
    </row>
    <row r="69" spans="1:13">
      <c r="A69">
        <v>89</v>
      </c>
      <c r="B69" s="126">
        <f t="shared" si="11"/>
        <v>0.24805840271058199</v>
      </c>
      <c r="C69" s="127">
        <f t="shared" si="12"/>
        <v>5.9779768109573264E-2</v>
      </c>
      <c r="D69" s="127">
        <f t="shared" si="13"/>
        <v>4.811143769930265E-2</v>
      </c>
      <c r="E69" s="129">
        <v>0.16847799999999999</v>
      </c>
      <c r="F69" s="133">
        <f t="shared" si="14"/>
        <v>-1.3940910657409691</v>
      </c>
      <c r="G69" s="134">
        <f t="shared" si="15"/>
        <v>-2.8170880011975479</v>
      </c>
      <c r="H69" s="134">
        <f t="shared" si="15"/>
        <v>-3.0342353401316919</v>
      </c>
      <c r="I69" s="123">
        <f t="shared" si="10"/>
        <v>-1.780950101512135</v>
      </c>
      <c r="K69" s="126">
        <f t="shared" si="7"/>
        <v>0.18604380203293649</v>
      </c>
      <c r="L69" s="127">
        <f t="shared" si="5"/>
        <v>4.4834826082179952E-2</v>
      </c>
      <c r="M69" s="135">
        <f t="shared" si="6"/>
        <v>3.6083578274476988E-2</v>
      </c>
    </row>
    <row r="70" spans="1:13">
      <c r="A70">
        <v>90</v>
      </c>
      <c r="B70" s="126">
        <f t="shared" si="11"/>
        <v>0.25985763294030911</v>
      </c>
      <c r="C70" s="127">
        <f t="shared" si="12"/>
        <v>6.566527264957292E-2</v>
      </c>
      <c r="D70" s="127">
        <f t="shared" si="13"/>
        <v>5.3232074395962101E-2</v>
      </c>
      <c r="E70" s="129">
        <v>0.18435799999999999</v>
      </c>
      <c r="F70" s="133">
        <f t="shared" si="14"/>
        <v>-1.3476213635496037</v>
      </c>
      <c r="G70" s="134">
        <f t="shared" si="15"/>
        <v>-2.7231850678242968</v>
      </c>
      <c r="H70" s="134">
        <f t="shared" si="15"/>
        <v>-2.9330941621273019</v>
      </c>
      <c r="I70" s="123">
        <f t="shared" si="10"/>
        <v>-1.6908757595288773</v>
      </c>
      <c r="K70" s="126">
        <f t="shared" si="7"/>
        <v>0.19489322470523185</v>
      </c>
      <c r="L70" s="127">
        <f t="shared" si="5"/>
        <v>4.924895448717969E-2</v>
      </c>
      <c r="M70" s="135">
        <f t="shared" si="6"/>
        <v>3.9924055796971572E-2</v>
      </c>
    </row>
    <row r="71" spans="1:13">
      <c r="A71">
        <v>91</v>
      </c>
      <c r="B71" s="126">
        <f t="shared" si="11"/>
        <v>0.27221810936243612</v>
      </c>
      <c r="C71" s="127">
        <f t="shared" si="12"/>
        <v>7.2130223460204951E-2</v>
      </c>
      <c r="D71" s="127">
        <f t="shared" si="13"/>
        <v>5.8897714971804203E-2</v>
      </c>
      <c r="E71" s="129">
        <v>0.20150799999999999</v>
      </c>
      <c r="F71" s="133">
        <f t="shared" si="14"/>
        <v>-1.3011516613582381</v>
      </c>
      <c r="G71" s="134">
        <f t="shared" si="15"/>
        <v>-2.6292821344510449</v>
      </c>
      <c r="H71" s="134">
        <f t="shared" si="15"/>
        <v>-2.8319529841229123</v>
      </c>
      <c r="I71" s="123">
        <f t="shared" ref="I71:I99" si="16">LN(E71)</f>
        <v>-1.6019261961502615</v>
      </c>
      <c r="K71" s="126">
        <f t="shared" ref="K71:K98" si="17">B71*$K$3</f>
        <v>0.20416358202182711</v>
      </c>
      <c r="L71" s="127">
        <f t="shared" ref="L71:L98" si="18">C71*$K$3</f>
        <v>5.4097667595153713E-2</v>
      </c>
      <c r="M71" s="135">
        <f t="shared" ref="M71:M98" si="19">D71*$K$3</f>
        <v>4.4173286228853151E-2</v>
      </c>
    </row>
    <row r="72" spans="1:13">
      <c r="A72">
        <v>92</v>
      </c>
      <c r="B72" s="126">
        <f t="shared" si="11"/>
        <v>0.285166528403963</v>
      </c>
      <c r="C72" s="127">
        <f t="shared" si="12"/>
        <v>7.9231668833296715E-2</v>
      </c>
      <c r="D72" s="127">
        <f t="shared" si="13"/>
        <v>6.5166365734622311E-2</v>
      </c>
      <c r="E72" s="129">
        <v>0.21947800000000001</v>
      </c>
      <c r="F72" s="133">
        <f t="shared" si="14"/>
        <v>-1.2546819591668723</v>
      </c>
      <c r="G72" s="134">
        <f t="shared" si="15"/>
        <v>-2.5353792010777934</v>
      </c>
      <c r="H72" s="134">
        <f t="shared" si="15"/>
        <v>-2.7308118061185223</v>
      </c>
      <c r="I72" s="123">
        <f t="shared" si="16"/>
        <v>-1.5165032792804845</v>
      </c>
      <c r="K72" s="126">
        <f t="shared" si="17"/>
        <v>0.21387489630297224</v>
      </c>
      <c r="L72" s="127">
        <f t="shared" si="18"/>
        <v>5.9423751624972536E-2</v>
      </c>
      <c r="M72" s="135">
        <f t="shared" si="19"/>
        <v>4.8874774300966733E-2</v>
      </c>
    </row>
    <row r="73" spans="1:13">
      <c r="A73">
        <v>93</v>
      </c>
      <c r="B73" s="126">
        <f t="shared" si="11"/>
        <v>0.29873085634320301</v>
      </c>
      <c r="C73" s="127">
        <f t="shared" si="12"/>
        <v>8.7032273642860064E-2</v>
      </c>
      <c r="D73" s="127">
        <f t="shared" si="13"/>
        <v>7.2102206767979585E-2</v>
      </c>
      <c r="E73" s="129">
        <v>0.23804500000000001</v>
      </c>
      <c r="F73" s="133">
        <f t="shared" si="14"/>
        <v>-1.2082122569755067</v>
      </c>
      <c r="G73" s="134">
        <f t="shared" si="15"/>
        <v>-2.4414762677045418</v>
      </c>
      <c r="H73" s="134">
        <f t="shared" si="15"/>
        <v>-2.6296706281141331</v>
      </c>
      <c r="I73" s="123">
        <f t="shared" si="16"/>
        <v>-1.4352955475529543</v>
      </c>
      <c r="K73" s="126">
        <f t="shared" si="17"/>
        <v>0.22404814225740227</v>
      </c>
      <c r="L73" s="127">
        <f t="shared" si="18"/>
        <v>6.5274205232145055E-2</v>
      </c>
      <c r="M73" s="135">
        <f t="shared" si="19"/>
        <v>5.4076655075984692E-2</v>
      </c>
    </row>
    <row r="74" spans="1:13">
      <c r="A74">
        <v>94</v>
      </c>
      <c r="B74" s="126">
        <f t="shared" si="11"/>
        <v>0.31294038971196175</v>
      </c>
      <c r="C74" s="127">
        <f t="shared" si="12"/>
        <v>9.5600872315117505E-2</v>
      </c>
      <c r="D74" s="127">
        <f t="shared" si="13"/>
        <v>7.9776249023665369E-2</v>
      </c>
      <c r="E74" s="129">
        <v>0.257967</v>
      </c>
      <c r="F74" s="133">
        <f t="shared" si="14"/>
        <v>-1.1617425547841411</v>
      </c>
      <c r="G74" s="134">
        <f t="shared" si="15"/>
        <v>-2.3475733343312903</v>
      </c>
      <c r="H74" s="134">
        <f t="shared" si="15"/>
        <v>-2.5285294501097435</v>
      </c>
      <c r="I74" s="123">
        <f t="shared" si="16"/>
        <v>-1.3549236092180588</v>
      </c>
      <c r="K74" s="126">
        <f t="shared" si="17"/>
        <v>0.2347052922839713</v>
      </c>
      <c r="L74" s="127">
        <f t="shared" si="18"/>
        <v>7.1700654236338132E-2</v>
      </c>
      <c r="M74" s="135">
        <f t="shared" si="19"/>
        <v>5.9832186767749027E-2</v>
      </c>
    </row>
    <row r="75" spans="1:13">
      <c r="A75">
        <v>95</v>
      </c>
      <c r="B75" s="126">
        <f t="shared" si="11"/>
        <v>0.32782581857082649</v>
      </c>
      <c r="C75" s="127">
        <f t="shared" si="12"/>
        <v>0.10501307624015165</v>
      </c>
      <c r="D75" s="127">
        <f t="shared" si="13"/>
        <v>8.8267061350363815E-2</v>
      </c>
      <c r="E75" s="129">
        <v>0.27845500000000001</v>
      </c>
      <c r="F75" s="133">
        <f t="shared" si="14"/>
        <v>-1.1152728525927753</v>
      </c>
      <c r="G75" s="134">
        <f t="shared" si="15"/>
        <v>-2.2536704009580384</v>
      </c>
      <c r="H75" s="134">
        <f t="shared" si="15"/>
        <v>-2.4273882721053535</v>
      </c>
      <c r="I75" s="123">
        <f t="shared" si="16"/>
        <v>-1.2784988125625156</v>
      </c>
      <c r="K75" s="126">
        <f t="shared" si="17"/>
        <v>0.24586936392811987</v>
      </c>
      <c r="L75" s="127">
        <f t="shared" si="18"/>
        <v>7.8759807180113731E-2</v>
      </c>
      <c r="M75" s="135">
        <f t="shared" si="19"/>
        <v>6.6200296012772858E-2</v>
      </c>
    </row>
    <row r="76" spans="1:13">
      <c r="A76">
        <v>96</v>
      </c>
      <c r="B76" s="126">
        <f t="shared" si="11"/>
        <v>0.34341929279422939</v>
      </c>
      <c r="C76" s="127">
        <f t="shared" si="12"/>
        <v>0.11535194098512494</v>
      </c>
      <c r="D76" s="127">
        <f t="shared" si="13"/>
        <v>9.7661574902044967E-2</v>
      </c>
      <c r="E76" s="129">
        <v>0.30015500000000001</v>
      </c>
      <c r="F76" s="133">
        <f t="shared" si="14"/>
        <v>-1.0688031504014097</v>
      </c>
      <c r="G76" s="134">
        <f t="shared" si="15"/>
        <v>-2.1597674675847869</v>
      </c>
      <c r="H76" s="134">
        <f t="shared" si="15"/>
        <v>-2.3262470941009639</v>
      </c>
      <c r="I76" s="123">
        <f t="shared" si="16"/>
        <v>-1.2034562710855357</v>
      </c>
      <c r="K76" s="126">
        <f t="shared" si="17"/>
        <v>0.25756446959567203</v>
      </c>
      <c r="L76" s="127">
        <f t="shared" si="18"/>
        <v>8.6513955738843712E-2</v>
      </c>
      <c r="M76" s="135">
        <f t="shared" si="19"/>
        <v>7.3246181176533726E-2</v>
      </c>
    </row>
    <row r="77" spans="1:13">
      <c r="A77">
        <v>97</v>
      </c>
      <c r="B77" s="126">
        <f t="shared" si="11"/>
        <v>0.35975449150844868</v>
      </c>
      <c r="C77" s="127">
        <f t="shared" si="12"/>
        <v>0.1267086991967214</v>
      </c>
      <c r="D77" s="127">
        <f t="shared" si="13"/>
        <v>0.10805597316182122</v>
      </c>
      <c r="E77" s="129">
        <v>0.323127</v>
      </c>
      <c r="F77" s="133">
        <f t="shared" si="14"/>
        <v>-1.0223334482100441</v>
      </c>
      <c r="G77" s="134">
        <f t="shared" si="15"/>
        <v>-2.0658645342115354</v>
      </c>
      <c r="H77" s="134">
        <f t="shared" si="15"/>
        <v>-2.2251059160965743</v>
      </c>
      <c r="I77" s="123">
        <f t="shared" si="16"/>
        <v>-1.129709844183473</v>
      </c>
      <c r="K77" s="126">
        <f t="shared" si="17"/>
        <v>0.2698158686313365</v>
      </c>
      <c r="L77" s="127">
        <f t="shared" si="18"/>
        <v>9.5031524397541048E-2</v>
      </c>
      <c r="M77" s="135">
        <f t="shared" si="19"/>
        <v>8.104197987136591E-2</v>
      </c>
    </row>
    <row r="78" spans="1:13">
      <c r="A78">
        <v>98</v>
      </c>
      <c r="B78" s="126">
        <f t="shared" si="11"/>
        <v>0.37686669583252153</v>
      </c>
      <c r="C78" s="127">
        <f t="shared" si="12"/>
        <v>0.13918356566011827</v>
      </c>
      <c r="D78" s="127">
        <f t="shared" si="13"/>
        <v>0.11955667669356564</v>
      </c>
      <c r="E78" s="129">
        <v>0.34652300000000003</v>
      </c>
      <c r="F78" s="133">
        <f t="shared" si="14"/>
        <v>-0.97586374601867842</v>
      </c>
      <c r="G78" s="134">
        <f t="shared" si="15"/>
        <v>-1.9719616008382839</v>
      </c>
      <c r="H78" s="134">
        <f t="shared" si="15"/>
        <v>-2.1239647380921842</v>
      </c>
      <c r="I78" s="123">
        <f t="shared" si="16"/>
        <v>-1.0598060844887274</v>
      </c>
      <c r="K78" s="126">
        <f t="shared" si="17"/>
        <v>0.28265002187439114</v>
      </c>
      <c r="L78" s="127">
        <f t="shared" si="18"/>
        <v>0.10438767424508871</v>
      </c>
      <c r="M78" s="135">
        <f t="shared" si="19"/>
        <v>8.9667507520174231E-2</v>
      </c>
    </row>
    <row r="79" spans="1:13">
      <c r="A79">
        <v>99</v>
      </c>
      <c r="B79" s="126">
        <f t="shared" si="11"/>
        <v>0.39479286507917533</v>
      </c>
      <c r="C79" s="127">
        <f t="shared" si="12"/>
        <v>0.15288662161852351</v>
      </c>
      <c r="D79" s="127">
        <f t="shared" si="13"/>
        <v>0.13228143270343629</v>
      </c>
      <c r="E79" s="129">
        <v>0.370973</v>
      </c>
      <c r="F79" s="133">
        <f t="shared" si="14"/>
        <v>-0.92939404382731272</v>
      </c>
      <c r="G79" s="134">
        <f t="shared" si="15"/>
        <v>-1.8780586674650321</v>
      </c>
      <c r="H79" s="134">
        <f t="shared" si="15"/>
        <v>-2.0228235600877946</v>
      </c>
      <c r="I79" s="123">
        <f t="shared" si="16"/>
        <v>-0.99162599530334739</v>
      </c>
      <c r="K79" s="126">
        <f t="shared" si="17"/>
        <v>0.29609464880938152</v>
      </c>
      <c r="L79" s="127">
        <f t="shared" si="18"/>
        <v>0.11466496621389263</v>
      </c>
      <c r="M79" s="135">
        <f t="shared" si="19"/>
        <v>9.9211074527577214E-2</v>
      </c>
    </row>
    <row r="80" spans="1:13">
      <c r="A80">
        <v>100</v>
      </c>
      <c r="B80" s="126">
        <f t="shared" si="11"/>
        <v>0.41357171658035879</v>
      </c>
      <c r="C80" s="127">
        <f t="shared" si="12"/>
        <v>0.1679387861567285</v>
      </c>
      <c r="D80" s="127">
        <f t="shared" si="13"/>
        <v>0.14636052056652296</v>
      </c>
      <c r="E80" s="129">
        <v>0.395588</v>
      </c>
      <c r="F80" s="133">
        <f t="shared" si="14"/>
        <v>-0.88292434163594724</v>
      </c>
      <c r="G80" s="134">
        <f t="shared" si="15"/>
        <v>-1.7841557340917804</v>
      </c>
      <c r="H80" s="134">
        <f t="shared" si="15"/>
        <v>-1.9216823820834048</v>
      </c>
      <c r="I80" s="123">
        <f t="shared" si="16"/>
        <v>-0.92738201336402926</v>
      </c>
      <c r="K80" s="126">
        <f t="shared" si="17"/>
        <v>0.31017878743526911</v>
      </c>
      <c r="L80" s="127">
        <f t="shared" si="18"/>
        <v>0.12595408961754637</v>
      </c>
      <c r="M80" s="135">
        <f t="shared" si="19"/>
        <v>0.10977039042489223</v>
      </c>
    </row>
    <row r="81" spans="1:13">
      <c r="A81">
        <v>101</v>
      </c>
      <c r="B81" s="126">
        <f t="shared" si="11"/>
        <v>0.4332438093097819</v>
      </c>
      <c r="C81" s="127">
        <f t="shared" si="12"/>
        <v>0.18447288322039998</v>
      </c>
      <c r="D81" s="127">
        <f t="shared" si="13"/>
        <v>0.16193808566111123</v>
      </c>
      <c r="E81" s="129">
        <v>0.41980000000000001</v>
      </c>
      <c r="F81" s="133">
        <f t="shared" si="14"/>
        <v>-0.83645463944458154</v>
      </c>
      <c r="G81" s="134">
        <f t="shared" si="15"/>
        <v>-1.6902528007185291</v>
      </c>
      <c r="H81" s="134">
        <f t="shared" si="15"/>
        <v>-1.8205412040790152</v>
      </c>
      <c r="I81" s="123">
        <f t="shared" si="16"/>
        <v>-0.86797687159560444</v>
      </c>
      <c r="K81" s="126">
        <f t="shared" si="17"/>
        <v>0.32493285698233643</v>
      </c>
      <c r="L81" s="127">
        <f t="shared" si="18"/>
        <v>0.13835466241529998</v>
      </c>
      <c r="M81" s="135">
        <f t="shared" si="19"/>
        <v>0.12145356424583342</v>
      </c>
    </row>
    <row r="82" spans="1:13">
      <c r="A82">
        <v>102</v>
      </c>
      <c r="B82" s="126">
        <f t="shared" si="11"/>
        <v>0.45385163148307228</v>
      </c>
      <c r="C82" s="127">
        <f t="shared" si="12"/>
        <v>0.20263481368674835</v>
      </c>
      <c r="D82" s="127">
        <f t="shared" si="13"/>
        <v>0.17917361516670913</v>
      </c>
      <c r="E82" s="129">
        <v>0.44459100000000001</v>
      </c>
      <c r="F82" s="133">
        <f t="shared" si="14"/>
        <v>-0.78998493725321595</v>
      </c>
      <c r="G82" s="134">
        <f t="shared" si="15"/>
        <v>-1.5963498673452774</v>
      </c>
      <c r="H82" s="134">
        <f t="shared" si="15"/>
        <v>-1.7194000260746254</v>
      </c>
      <c r="I82" s="123">
        <f t="shared" si="16"/>
        <v>-0.81060052057191112</v>
      </c>
      <c r="K82" s="126">
        <f t="shared" si="17"/>
        <v>0.34038872361230421</v>
      </c>
      <c r="L82" s="127">
        <f t="shared" si="18"/>
        <v>0.15197611026506125</v>
      </c>
      <c r="M82" s="135">
        <f t="shared" si="19"/>
        <v>0.13438021137503184</v>
      </c>
    </row>
    <row r="83" spans="1:13">
      <c r="A83">
        <v>103</v>
      </c>
      <c r="B83" s="126">
        <f t="shared" si="11"/>
        <v>0.47543969232475253</v>
      </c>
      <c r="C83" s="127">
        <f t="shared" si="12"/>
        <v>0.22258484282920604</v>
      </c>
      <c r="D83" s="127">
        <f t="shared" si="13"/>
        <v>0.19824357093544073</v>
      </c>
      <c r="E83" s="129">
        <v>0.46981600000000001</v>
      </c>
      <c r="F83" s="133">
        <f t="shared" si="14"/>
        <v>-0.74351523506185024</v>
      </c>
      <c r="G83" s="134">
        <f t="shared" si="15"/>
        <v>-1.5024469339720257</v>
      </c>
      <c r="H83" s="134">
        <f t="shared" si="15"/>
        <v>-1.6182588480702356</v>
      </c>
      <c r="I83" s="123">
        <f t="shared" si="16"/>
        <v>-0.75541415029170134</v>
      </c>
      <c r="K83" s="126">
        <f t="shared" si="17"/>
        <v>0.35657976924356438</v>
      </c>
      <c r="L83" s="127">
        <f t="shared" si="18"/>
        <v>0.16693863212190452</v>
      </c>
      <c r="M83" s="135">
        <f t="shared" si="19"/>
        <v>0.14868267820158054</v>
      </c>
    </row>
    <row r="84" spans="1:13">
      <c r="A84">
        <v>104</v>
      </c>
      <c r="B84" s="126">
        <f t="shared" si="11"/>
        <v>0.49805461820023511</v>
      </c>
      <c r="C84" s="127">
        <f t="shared" si="12"/>
        <v>0.24449901453701867</v>
      </c>
      <c r="D84" s="127">
        <f t="shared" si="13"/>
        <v>0.2193431961545711</v>
      </c>
      <c r="E84" s="129">
        <v>0.49531199999999997</v>
      </c>
      <c r="F84" s="133">
        <f t="shared" si="14"/>
        <v>-0.69704553287048454</v>
      </c>
      <c r="G84" s="134">
        <f t="shared" si="15"/>
        <v>-1.4085440005987739</v>
      </c>
      <c r="H84" s="134">
        <f t="shared" si="15"/>
        <v>-1.517117670065846</v>
      </c>
      <c r="I84" s="123">
        <f t="shared" si="16"/>
        <v>-0.70256741194066885</v>
      </c>
      <c r="K84" s="126">
        <f t="shared" si="17"/>
        <v>0.37354096365017631</v>
      </c>
      <c r="L84" s="127">
        <f t="shared" si="18"/>
        <v>0.18337426090276399</v>
      </c>
      <c r="M84" s="135">
        <f t="shared" si="19"/>
        <v>0.16450739711592832</v>
      </c>
    </row>
    <row r="85" spans="1:13">
      <c r="A85">
        <v>105</v>
      </c>
      <c r="B85" s="126">
        <f t="shared" si="11"/>
        <v>0.52174525332046495</v>
      </c>
      <c r="C85" s="127">
        <f t="shared" si="12"/>
        <v>0.26857070476916306</v>
      </c>
      <c r="D85" s="127">
        <f t="shared" si="13"/>
        <v>0.24268851429724522</v>
      </c>
      <c r="E85" s="129">
        <v>0.52091799999999999</v>
      </c>
      <c r="F85" s="133">
        <f t="shared" si="14"/>
        <v>-0.65057583067911906</v>
      </c>
      <c r="G85" s="134">
        <f t="shared" si="15"/>
        <v>-1.3146410672255224</v>
      </c>
      <c r="H85" s="134">
        <f t="shared" si="15"/>
        <v>-1.4159764920614561</v>
      </c>
      <c r="I85" s="123">
        <f t="shared" si="16"/>
        <v>-0.65216263925113527</v>
      </c>
      <c r="K85" s="126">
        <f t="shared" si="17"/>
        <v>0.39130893999034871</v>
      </c>
      <c r="L85" s="127">
        <f t="shared" si="18"/>
        <v>0.20142802857687231</v>
      </c>
      <c r="M85" s="135">
        <f t="shared" si="19"/>
        <v>0.18201638572293391</v>
      </c>
    </row>
    <row r="86" spans="1:13">
      <c r="A86">
        <v>106</v>
      </c>
      <c r="B86" s="126">
        <f t="shared" si="11"/>
        <v>0.54656276523671365</v>
      </c>
      <c r="C86" s="127">
        <f t="shared" si="12"/>
        <v>0.29501232795064691</v>
      </c>
      <c r="D86" s="127">
        <f t="shared" si="13"/>
        <v>0.26851854082722032</v>
      </c>
      <c r="E86" s="129">
        <v>0.54666000000000003</v>
      </c>
      <c r="F86" s="133">
        <f t="shared" si="14"/>
        <v>-0.60410612848775336</v>
      </c>
      <c r="G86" s="134">
        <f t="shared" si="15"/>
        <v>-1.2207381338522709</v>
      </c>
      <c r="H86" s="134">
        <f t="shared" si="15"/>
        <v>-1.3148353140570666</v>
      </c>
      <c r="I86" s="123">
        <f t="shared" si="16"/>
        <v>-0.60392824202831485</v>
      </c>
      <c r="K86" s="126">
        <f t="shared" si="17"/>
        <v>0.40992207392753521</v>
      </c>
      <c r="L86" s="127">
        <f t="shared" si="18"/>
        <v>0.22125924596298518</v>
      </c>
      <c r="M86" s="135">
        <f t="shared" si="19"/>
        <v>0.20138890562041523</v>
      </c>
    </row>
    <row r="87" spans="1:13">
      <c r="A87">
        <v>107</v>
      </c>
      <c r="B87" s="126">
        <f t="shared" si="11"/>
        <v>0.57256075535337425</v>
      </c>
      <c r="C87" s="127">
        <f t="shared" si="12"/>
        <v>0.32405721136884402</v>
      </c>
      <c r="D87" s="127">
        <f t="shared" si="13"/>
        <v>0.29709773030160264</v>
      </c>
      <c r="E87" s="129">
        <v>0.57258500000000001</v>
      </c>
      <c r="F87" s="133">
        <f t="shared" si="14"/>
        <v>-0.55763642629638766</v>
      </c>
      <c r="G87" s="134">
        <f t="shared" si="15"/>
        <v>-1.1268352004790192</v>
      </c>
      <c r="H87" s="134">
        <f t="shared" si="15"/>
        <v>-1.2136941360526767</v>
      </c>
      <c r="I87" s="123">
        <f t="shared" si="16"/>
        <v>-0.55759408295884128</v>
      </c>
      <c r="K87" s="126">
        <f t="shared" si="17"/>
        <v>0.42942056651503069</v>
      </c>
      <c r="L87" s="127">
        <f t="shared" si="18"/>
        <v>0.24304290852663302</v>
      </c>
      <c r="M87" s="135">
        <f t="shared" si="19"/>
        <v>0.22282329772620196</v>
      </c>
    </row>
    <row r="88" spans="1:13">
      <c r="A88">
        <v>108</v>
      </c>
      <c r="B88" s="126">
        <f t="shared" si="11"/>
        <v>0.59979537469744526</v>
      </c>
      <c r="C88" s="127">
        <f t="shared" si="12"/>
        <v>0.3559616541099917</v>
      </c>
      <c r="D88" s="127">
        <f t="shared" si="13"/>
        <v>0.32871868392566495</v>
      </c>
      <c r="E88" s="129">
        <v>0.59854600000000002</v>
      </c>
      <c r="F88" s="133">
        <f t="shared" si="14"/>
        <v>-0.51116672410502206</v>
      </c>
      <c r="G88" s="134">
        <f t="shared" si="15"/>
        <v>-1.0329322671057677</v>
      </c>
      <c r="H88" s="134">
        <f t="shared" si="15"/>
        <v>-1.1125529580482871</v>
      </c>
      <c r="I88" s="123">
        <f t="shared" si="16"/>
        <v>-0.5132518981238956</v>
      </c>
      <c r="K88" s="126">
        <f t="shared" si="17"/>
        <v>0.44984653102308392</v>
      </c>
      <c r="L88" s="127">
        <f t="shared" si="18"/>
        <v>0.26697124058249377</v>
      </c>
      <c r="M88" s="135">
        <f t="shared" si="19"/>
        <v>0.24653901294424871</v>
      </c>
    </row>
    <row r="89" spans="1:13">
      <c r="A89">
        <v>109</v>
      </c>
      <c r="B89" s="126">
        <f t="shared" si="11"/>
        <v>0.62832544519474565</v>
      </c>
      <c r="C89" s="127">
        <f t="shared" si="12"/>
        <v>0.39100718870440671</v>
      </c>
      <c r="D89" s="127">
        <f t="shared" si="13"/>
        <v>0.36370514528039921</v>
      </c>
      <c r="E89" s="129">
        <v>0.62439199999999995</v>
      </c>
      <c r="F89" s="133">
        <f t="shared" si="14"/>
        <v>-0.46469702191365636</v>
      </c>
      <c r="G89" s="134">
        <f t="shared" si="15"/>
        <v>-0.93902933373251607</v>
      </c>
      <c r="H89" s="134">
        <f t="shared" si="15"/>
        <v>-1.0114117800438973</v>
      </c>
      <c r="I89" s="123">
        <f t="shared" si="16"/>
        <v>-0.47097690272274617</v>
      </c>
      <c r="K89" s="126">
        <f t="shared" si="17"/>
        <v>0.47124408389605921</v>
      </c>
      <c r="L89" s="127">
        <f t="shared" si="18"/>
        <v>0.29325539152830504</v>
      </c>
      <c r="M89" s="135">
        <f t="shared" si="19"/>
        <v>0.27277885896029941</v>
      </c>
    </row>
    <row r="90" spans="1:13">
      <c r="A90">
        <v>110</v>
      </c>
      <c r="B90" s="126">
        <f t="shared" si="11"/>
        <v>0.65821258671479521</v>
      </c>
      <c r="C90" s="127">
        <f t="shared" si="12"/>
        <v>0.42950306543772188</v>
      </c>
      <c r="D90" s="127">
        <f t="shared" si="13"/>
        <v>0.40241531489384352</v>
      </c>
      <c r="E90" s="129">
        <v>0.65439899999999995</v>
      </c>
      <c r="F90" s="133">
        <f t="shared" si="14"/>
        <v>-0.41822731972229077</v>
      </c>
      <c r="G90" s="134">
        <f t="shared" si="15"/>
        <v>-0.84512640035926456</v>
      </c>
      <c r="H90" s="134">
        <f t="shared" si="15"/>
        <v>-0.9102706020395076</v>
      </c>
      <c r="I90" s="123">
        <f t="shared" si="16"/>
        <v>-0.4240380218121268</v>
      </c>
      <c r="K90" s="126">
        <f t="shared" si="17"/>
        <v>0.49365944003609641</v>
      </c>
      <c r="L90" s="127">
        <f t="shared" si="18"/>
        <v>0.32212729907829141</v>
      </c>
      <c r="M90" s="135">
        <f t="shared" si="19"/>
        <v>0.30181148617038267</v>
      </c>
    </row>
    <row r="91" spans="1:13">
      <c r="A91">
        <v>111</v>
      </c>
      <c r="B91" s="126">
        <f t="shared" si="11"/>
        <v>0.68952135015875504</v>
      </c>
      <c r="C91" s="127">
        <f t="shared" si="12"/>
        <v>0.47178898125031071</v>
      </c>
      <c r="D91" s="127">
        <f t="shared" si="13"/>
        <v>0.4452455175916325</v>
      </c>
      <c r="E91" s="129">
        <v>0.68424300000000005</v>
      </c>
      <c r="F91" s="133">
        <f t="shared" si="14"/>
        <v>-0.37175761753092512</v>
      </c>
      <c r="G91" s="134">
        <f t="shared" si="15"/>
        <v>-0.75122346698601283</v>
      </c>
      <c r="H91" s="134">
        <f t="shared" si="15"/>
        <v>-0.80912942403511778</v>
      </c>
      <c r="I91" s="123">
        <f t="shared" si="16"/>
        <v>-0.3794421612927053</v>
      </c>
      <c r="K91" s="126">
        <f t="shared" si="17"/>
        <v>0.51714101261906631</v>
      </c>
      <c r="L91" s="127">
        <f t="shared" si="18"/>
        <v>0.35384173593773305</v>
      </c>
      <c r="M91" s="135">
        <f t="shared" si="19"/>
        <v>0.33393413819372436</v>
      </c>
    </row>
    <row r="92" spans="1:13">
      <c r="A92">
        <v>112</v>
      </c>
      <c r="B92" s="126">
        <f t="shared" si="11"/>
        <v>0.72231935687787363</v>
      </c>
      <c r="C92" s="127">
        <f t="shared" si="12"/>
        <v>0.51823807730536653</v>
      </c>
      <c r="D92" s="127">
        <f t="shared" si="13"/>
        <v>0.49263426017406181</v>
      </c>
      <c r="E92" s="129">
        <v>0.71388700000000005</v>
      </c>
      <c r="F92" s="133">
        <f t="shared" si="14"/>
        <v>-0.32528791533955953</v>
      </c>
      <c r="G92" s="134">
        <f t="shared" si="15"/>
        <v>-0.65732053361276122</v>
      </c>
      <c r="H92" s="134">
        <f t="shared" si="15"/>
        <v>-0.70798824603072807</v>
      </c>
      <c r="I92" s="123">
        <f t="shared" si="16"/>
        <v>-0.33703059247283312</v>
      </c>
      <c r="K92" s="126">
        <f t="shared" si="17"/>
        <v>0.54173951765840522</v>
      </c>
      <c r="L92" s="127">
        <f t="shared" si="18"/>
        <v>0.3886785579790249</v>
      </c>
      <c r="M92" s="135">
        <f t="shared" si="19"/>
        <v>0.36947569513054634</v>
      </c>
    </row>
    <row r="93" spans="1:13">
      <c r="A93">
        <v>113</v>
      </c>
      <c r="B93" s="126">
        <f t="shared" si="11"/>
        <v>0.75667744472355869</v>
      </c>
      <c r="C93" s="127">
        <f t="shared" si="12"/>
        <v>0.56926023167690543</v>
      </c>
      <c r="D93" s="127">
        <f t="shared" si="13"/>
        <v>0.54506672096322539</v>
      </c>
      <c r="E93" s="129">
        <v>0.74329400000000001</v>
      </c>
      <c r="F93" s="133">
        <f t="shared" si="14"/>
        <v>-0.27881821314819383</v>
      </c>
      <c r="G93" s="134">
        <f t="shared" si="15"/>
        <v>-0.5634176002395096</v>
      </c>
      <c r="H93" s="134">
        <f t="shared" si="15"/>
        <v>-0.60684706802633837</v>
      </c>
      <c r="I93" s="123">
        <f t="shared" si="16"/>
        <v>-0.29666361939432589</v>
      </c>
      <c r="K93" s="126">
        <f t="shared" si="17"/>
        <v>0.56750808354266902</v>
      </c>
      <c r="L93" s="127">
        <f t="shared" si="18"/>
        <v>0.42694517375767904</v>
      </c>
      <c r="M93" s="135">
        <f t="shared" si="19"/>
        <v>0.40880004072241904</v>
      </c>
    </row>
    <row r="94" spans="1:13">
      <c r="A94">
        <v>114</v>
      </c>
      <c r="B94" s="126">
        <f t="shared" si="11"/>
        <v>0.79266982104451644</v>
      </c>
      <c r="C94" s="127">
        <f t="shared" si="12"/>
        <v>0.62530567621316757</v>
      </c>
      <c r="D94" s="127">
        <f t="shared" si="13"/>
        <v>0.60307971718538111</v>
      </c>
      <c r="E94" s="129">
        <v>0.772428</v>
      </c>
      <c r="F94" s="133">
        <f t="shared" si="14"/>
        <v>-0.23234851095682818</v>
      </c>
      <c r="G94" s="134">
        <f t="shared" si="15"/>
        <v>-0.46951466686625803</v>
      </c>
      <c r="H94" s="134">
        <f t="shared" si="15"/>
        <v>-0.50570589002194866</v>
      </c>
      <c r="I94" s="123">
        <f t="shared" si="16"/>
        <v>-0.25821647843748352</v>
      </c>
      <c r="K94" s="126">
        <f t="shared" si="17"/>
        <v>0.59450236578338733</v>
      </c>
      <c r="L94" s="127">
        <f t="shared" si="18"/>
        <v>0.46897925715987565</v>
      </c>
      <c r="M94" s="135">
        <f t="shared" si="19"/>
        <v>0.45230978788903586</v>
      </c>
    </row>
    <row r="95" spans="1:13">
      <c r="A95">
        <v>115</v>
      </c>
      <c r="B95" s="126">
        <f t="shared" si="11"/>
        <v>0.83037422296140373</v>
      </c>
      <c r="C95" s="127">
        <f t="shared" si="12"/>
        <v>0.68686896949149678</v>
      </c>
      <c r="D95" s="127">
        <f t="shared" si="13"/>
        <v>0.6672672010459022</v>
      </c>
      <c r="E95" s="129">
        <v>0.80141399999999996</v>
      </c>
      <c r="F95" s="133">
        <f t="shared" si="14"/>
        <v>-0.18587880876546256</v>
      </c>
      <c r="G95" s="134">
        <f t="shared" si="15"/>
        <v>-0.37561173349300642</v>
      </c>
      <c r="H95" s="134">
        <f t="shared" si="15"/>
        <v>-0.40456471201755889</v>
      </c>
      <c r="I95" s="123">
        <f t="shared" si="16"/>
        <v>-0.22137761150418148</v>
      </c>
      <c r="K95" s="126">
        <f t="shared" si="17"/>
        <v>0.62278066722105274</v>
      </c>
      <c r="L95" s="127">
        <f t="shared" si="18"/>
        <v>0.51515172711862256</v>
      </c>
      <c r="M95" s="135">
        <f t="shared" si="19"/>
        <v>0.5004504007844266</v>
      </c>
    </row>
    <row r="96" spans="1:13">
      <c r="A96">
        <v>116</v>
      </c>
      <c r="B96" s="126">
        <f t="shared" si="11"/>
        <v>0.86987208526516058</v>
      </c>
      <c r="C96" s="127">
        <f t="shared" si="12"/>
        <v>0.754493360923014</v>
      </c>
      <c r="D96" s="127">
        <f t="shared" si="13"/>
        <v>0.73828634076706678</v>
      </c>
      <c r="E96" s="129">
        <v>0.830399</v>
      </c>
      <c r="F96" s="133">
        <f t="shared" si="14"/>
        <v>-0.13940910657409691</v>
      </c>
      <c r="G96" s="134">
        <f t="shared" si="15"/>
        <v>-0.2817088001197548</v>
      </c>
      <c r="H96" s="134">
        <f t="shared" si="15"/>
        <v>-0.30342353401316918</v>
      </c>
      <c r="I96" s="123">
        <f t="shared" si="16"/>
        <v>-0.18584897081015897</v>
      </c>
      <c r="K96" s="126">
        <f t="shared" si="17"/>
        <v>0.65240406394887041</v>
      </c>
      <c r="L96" s="127">
        <f t="shared" si="18"/>
        <v>0.56587002069226044</v>
      </c>
      <c r="M96" s="135">
        <f t="shared" si="19"/>
        <v>0.55371475557530014</v>
      </c>
    </row>
    <row r="97" spans="1:13">
      <c r="A97">
        <v>117</v>
      </c>
      <c r="B97" s="126">
        <f t="shared" si="11"/>
        <v>0.91124871630164928</v>
      </c>
      <c r="C97" s="127">
        <f t="shared" si="12"/>
        <v>0.82877558451700106</v>
      </c>
      <c r="D97" s="127">
        <f t="shared" si="13"/>
        <v>0.81686424884793574</v>
      </c>
      <c r="E97" s="129">
        <v>0.85938499999999995</v>
      </c>
      <c r="F97" s="133">
        <f t="shared" si="14"/>
        <v>-9.293940438273128E-2</v>
      </c>
      <c r="G97" s="134">
        <f t="shared" si="15"/>
        <v>-0.18780586674650321</v>
      </c>
      <c r="H97" s="134">
        <f t="shared" si="15"/>
        <v>-0.20228235600877945</v>
      </c>
      <c r="I97" s="123">
        <f t="shared" si="16"/>
        <v>-0.15153826183126659</v>
      </c>
      <c r="K97" s="126">
        <f t="shared" si="17"/>
        <v>0.68343653722623698</v>
      </c>
      <c r="L97" s="127">
        <f t="shared" si="18"/>
        <v>0.62158168838775074</v>
      </c>
      <c r="M97" s="135">
        <f t="shared" si="19"/>
        <v>0.61264818663595177</v>
      </c>
    </row>
    <row r="98" spans="1:13">
      <c r="A98">
        <v>118</v>
      </c>
      <c r="B98" s="126">
        <f t="shared" si="11"/>
        <v>0.95459348222248475</v>
      </c>
      <c r="C98" s="127">
        <f t="shared" si="12"/>
        <v>0.91037112460633385</v>
      </c>
      <c r="D98" s="127">
        <f t="shared" si="13"/>
        <v>0.90380542643200346</v>
      </c>
      <c r="E98" s="129">
        <v>0.88837100000000002</v>
      </c>
      <c r="F98" s="133">
        <f t="shared" si="14"/>
        <v>-4.646970219136564E-2</v>
      </c>
      <c r="G98" s="134">
        <f t="shared" si="15"/>
        <v>-9.3902933373251604E-2</v>
      </c>
      <c r="H98" s="134">
        <f t="shared" si="15"/>
        <v>-0.10114117800438972</v>
      </c>
      <c r="I98" s="123">
        <f t="shared" si="16"/>
        <v>-0.11836583044828194</v>
      </c>
      <c r="K98" s="126">
        <f t="shared" si="17"/>
        <v>0.71594511166686359</v>
      </c>
      <c r="L98" s="127">
        <f t="shared" si="18"/>
        <v>0.68277834345475041</v>
      </c>
      <c r="M98" s="135">
        <f t="shared" si="19"/>
        <v>0.67785406982400254</v>
      </c>
    </row>
    <row r="99" spans="1:13">
      <c r="A99">
        <v>119</v>
      </c>
      <c r="B99" s="74">
        <f t="shared" si="11"/>
        <v>1</v>
      </c>
      <c r="C99" s="75">
        <f t="shared" si="12"/>
        <v>1</v>
      </c>
      <c r="D99" s="75">
        <f t="shared" si="13"/>
        <v>1</v>
      </c>
      <c r="E99">
        <v>1</v>
      </c>
      <c r="F99" s="71">
        <f t="shared" si="14"/>
        <v>0</v>
      </c>
      <c r="G99" s="69">
        <f t="shared" si="15"/>
        <v>0</v>
      </c>
      <c r="H99" s="69">
        <f t="shared" si="15"/>
        <v>0</v>
      </c>
      <c r="I99" s="68">
        <f t="shared" si="16"/>
        <v>0</v>
      </c>
      <c r="K99" s="126">
        <f>MIN(1,(K$98*($A$104-$A99)+1*($A99-$A$98))/($A$104-$A$98))</f>
        <v>0.76328759305571969</v>
      </c>
      <c r="L99" s="127">
        <f t="shared" ref="L99:M114" si="20">MIN(1,(L$98*($A$104-$A99)+1*($A99-$A$98))/($A$104-$A$98))</f>
        <v>0.73564861954562533</v>
      </c>
      <c r="M99" s="135">
        <f t="shared" si="20"/>
        <v>0.73154505818666882</v>
      </c>
    </row>
    <row r="100" spans="1:13">
      <c r="A100">
        <v>120</v>
      </c>
      <c r="B100" s="74">
        <f t="shared" ref="B100:B130" si="21">EXP(F100)</f>
        <v>1</v>
      </c>
      <c r="C100" s="75">
        <f t="shared" ref="C100:C130" si="22">EXP(G100)</f>
        <v>1</v>
      </c>
      <c r="D100" s="75">
        <f t="shared" ref="D100:D130" si="23">EXP(H100)</f>
        <v>1</v>
      </c>
      <c r="F100" s="71">
        <f t="shared" si="14"/>
        <v>0</v>
      </c>
      <c r="G100" s="69">
        <f t="shared" si="15"/>
        <v>0</v>
      </c>
      <c r="H100" s="69">
        <f t="shared" si="15"/>
        <v>0</v>
      </c>
      <c r="I100" s="68"/>
      <c r="K100" s="126">
        <f t="shared" ref="K100:M130" si="24">MIN(1,(K$98*($A$104-$A100)+1*($A100-$A$98))/($A$104-$A$98))</f>
        <v>0.81063007444457569</v>
      </c>
      <c r="L100" s="127">
        <f t="shared" si="20"/>
        <v>0.78851889563650024</v>
      </c>
      <c r="M100" s="135">
        <f t="shared" si="20"/>
        <v>0.78523604654933499</v>
      </c>
    </row>
    <row r="101" spans="1:13">
      <c r="A101">
        <v>121</v>
      </c>
      <c r="B101" s="74">
        <f t="shared" si="21"/>
        <v>1</v>
      </c>
      <c r="C101" s="75">
        <f t="shared" si="22"/>
        <v>1</v>
      </c>
      <c r="D101" s="75">
        <f t="shared" si="23"/>
        <v>1</v>
      </c>
      <c r="F101" s="71">
        <f t="shared" si="14"/>
        <v>0</v>
      </c>
      <c r="G101" s="69">
        <f t="shared" si="15"/>
        <v>0</v>
      </c>
      <c r="H101" s="69">
        <f t="shared" si="15"/>
        <v>0</v>
      </c>
      <c r="I101" s="68"/>
      <c r="K101" s="126">
        <f t="shared" si="24"/>
        <v>0.85797255583343179</v>
      </c>
      <c r="L101" s="127">
        <f t="shared" si="20"/>
        <v>0.84138917172737526</v>
      </c>
      <c r="M101" s="135">
        <f t="shared" si="20"/>
        <v>0.83892703491200127</v>
      </c>
    </row>
    <row r="102" spans="1:13">
      <c r="A102">
        <v>122</v>
      </c>
      <c r="B102" s="74">
        <f t="shared" si="21"/>
        <v>1</v>
      </c>
      <c r="C102" s="75">
        <f t="shared" si="22"/>
        <v>1</v>
      </c>
      <c r="D102" s="75">
        <f t="shared" si="23"/>
        <v>1</v>
      </c>
      <c r="F102" s="71">
        <f t="shared" si="14"/>
        <v>0</v>
      </c>
      <c r="G102" s="69">
        <f t="shared" ref="G102:H130" si="25">MIN(0,(($A$99-$A102)*G$45)/($A$99-$A$45))</f>
        <v>0</v>
      </c>
      <c r="H102" s="69">
        <f t="shared" si="25"/>
        <v>0</v>
      </c>
      <c r="I102" s="68"/>
      <c r="K102" s="126">
        <f t="shared" si="24"/>
        <v>0.9053150372222879</v>
      </c>
      <c r="L102" s="127">
        <f t="shared" si="20"/>
        <v>0.89425944781825006</v>
      </c>
      <c r="M102" s="135">
        <f t="shared" si="20"/>
        <v>0.89261802327466755</v>
      </c>
    </row>
    <row r="103" spans="1:13">
      <c r="A103">
        <v>123</v>
      </c>
      <c r="B103" s="74">
        <f t="shared" si="21"/>
        <v>1</v>
      </c>
      <c r="C103" s="75">
        <f t="shared" si="22"/>
        <v>1</v>
      </c>
      <c r="D103" s="75">
        <f t="shared" si="23"/>
        <v>1</v>
      </c>
      <c r="F103" s="71">
        <f t="shared" si="14"/>
        <v>0</v>
      </c>
      <c r="G103" s="69">
        <f t="shared" si="25"/>
        <v>0</v>
      </c>
      <c r="H103" s="69">
        <f t="shared" si="25"/>
        <v>0</v>
      </c>
      <c r="I103" s="68"/>
      <c r="K103" s="126">
        <f t="shared" si="24"/>
        <v>0.95265751861114401</v>
      </c>
      <c r="L103" s="127">
        <f t="shared" si="20"/>
        <v>0.94712972390912509</v>
      </c>
      <c r="M103" s="135">
        <f t="shared" si="20"/>
        <v>0.94630901163733372</v>
      </c>
    </row>
    <row r="104" spans="1:13">
      <c r="A104">
        <v>124</v>
      </c>
      <c r="B104" s="74">
        <f t="shared" si="21"/>
        <v>1</v>
      </c>
      <c r="C104" s="75">
        <f t="shared" si="22"/>
        <v>1</v>
      </c>
      <c r="D104" s="75">
        <f t="shared" si="23"/>
        <v>1</v>
      </c>
      <c r="F104" s="71">
        <f t="shared" si="14"/>
        <v>0</v>
      </c>
      <c r="G104" s="69">
        <f t="shared" si="25"/>
        <v>0</v>
      </c>
      <c r="H104" s="69">
        <f t="shared" si="25"/>
        <v>0</v>
      </c>
      <c r="I104" s="68"/>
      <c r="K104" s="136">
        <f t="shared" si="24"/>
        <v>1</v>
      </c>
      <c r="L104" s="137">
        <f t="shared" si="20"/>
        <v>1</v>
      </c>
      <c r="M104" s="138">
        <f t="shared" si="20"/>
        <v>1</v>
      </c>
    </row>
    <row r="105" spans="1:13">
      <c r="A105">
        <v>125</v>
      </c>
      <c r="B105" s="74">
        <f t="shared" si="21"/>
        <v>1</v>
      </c>
      <c r="C105" s="75">
        <f t="shared" si="22"/>
        <v>1</v>
      </c>
      <c r="D105" s="75">
        <f t="shared" si="23"/>
        <v>1</v>
      </c>
      <c r="F105" s="71">
        <f t="shared" si="14"/>
        <v>0</v>
      </c>
      <c r="G105" s="69">
        <f t="shared" si="25"/>
        <v>0</v>
      </c>
      <c r="H105" s="69">
        <f t="shared" si="25"/>
        <v>0</v>
      </c>
      <c r="I105" s="68"/>
      <c r="K105" s="136">
        <f t="shared" si="24"/>
        <v>1</v>
      </c>
      <c r="L105" s="137">
        <f t="shared" si="20"/>
        <v>1</v>
      </c>
      <c r="M105" s="138">
        <f t="shared" si="20"/>
        <v>1</v>
      </c>
    </row>
    <row r="106" spans="1:13">
      <c r="A106">
        <v>126</v>
      </c>
      <c r="B106" s="74">
        <f t="shared" si="21"/>
        <v>1</v>
      </c>
      <c r="C106" s="75">
        <f t="shared" si="22"/>
        <v>1</v>
      </c>
      <c r="D106" s="75">
        <f t="shared" si="23"/>
        <v>1</v>
      </c>
      <c r="F106" s="71">
        <f t="shared" si="14"/>
        <v>0</v>
      </c>
      <c r="G106" s="69">
        <f t="shared" si="25"/>
        <v>0</v>
      </c>
      <c r="H106" s="69">
        <f t="shared" si="25"/>
        <v>0</v>
      </c>
      <c r="I106" s="68"/>
      <c r="K106" s="136">
        <f t="shared" si="24"/>
        <v>1</v>
      </c>
      <c r="L106" s="137">
        <f t="shared" si="20"/>
        <v>1</v>
      </c>
      <c r="M106" s="138">
        <f t="shared" si="20"/>
        <v>1</v>
      </c>
    </row>
    <row r="107" spans="1:13">
      <c r="A107">
        <v>127</v>
      </c>
      <c r="B107" s="74">
        <f t="shared" si="21"/>
        <v>1</v>
      </c>
      <c r="C107" s="75">
        <f t="shared" si="22"/>
        <v>1</v>
      </c>
      <c r="D107" s="75">
        <f t="shared" si="23"/>
        <v>1</v>
      </c>
      <c r="F107" s="71">
        <f t="shared" si="14"/>
        <v>0</v>
      </c>
      <c r="G107" s="69">
        <f t="shared" si="25"/>
        <v>0</v>
      </c>
      <c r="H107" s="69">
        <f t="shared" si="25"/>
        <v>0</v>
      </c>
      <c r="I107" s="68"/>
      <c r="K107" s="136">
        <f t="shared" si="24"/>
        <v>1</v>
      </c>
      <c r="L107" s="137">
        <f t="shared" si="20"/>
        <v>1</v>
      </c>
      <c r="M107" s="138">
        <f t="shared" si="20"/>
        <v>1</v>
      </c>
    </row>
    <row r="108" spans="1:13">
      <c r="A108">
        <v>128</v>
      </c>
      <c r="B108" s="74">
        <f t="shared" si="21"/>
        <v>1</v>
      </c>
      <c r="C108" s="75">
        <f t="shared" si="22"/>
        <v>1</v>
      </c>
      <c r="D108" s="75">
        <f t="shared" si="23"/>
        <v>1</v>
      </c>
      <c r="F108" s="71">
        <f t="shared" si="14"/>
        <v>0</v>
      </c>
      <c r="G108" s="69">
        <f t="shared" si="25"/>
        <v>0</v>
      </c>
      <c r="H108" s="69">
        <f t="shared" si="25"/>
        <v>0</v>
      </c>
      <c r="I108" s="68"/>
      <c r="K108" s="136">
        <f t="shared" si="24"/>
        <v>1</v>
      </c>
      <c r="L108" s="137">
        <f t="shared" si="20"/>
        <v>1</v>
      </c>
      <c r="M108" s="138">
        <f t="shared" si="20"/>
        <v>1</v>
      </c>
    </row>
    <row r="109" spans="1:13">
      <c r="A109">
        <v>129</v>
      </c>
      <c r="B109" s="74">
        <f t="shared" si="21"/>
        <v>1</v>
      </c>
      <c r="C109" s="75">
        <f t="shared" si="22"/>
        <v>1</v>
      </c>
      <c r="D109" s="75">
        <f t="shared" si="23"/>
        <v>1</v>
      </c>
      <c r="F109" s="71">
        <f t="shared" si="14"/>
        <v>0</v>
      </c>
      <c r="G109" s="69">
        <f t="shared" si="25"/>
        <v>0</v>
      </c>
      <c r="H109" s="69">
        <f t="shared" si="25"/>
        <v>0</v>
      </c>
      <c r="I109" s="68"/>
      <c r="K109" s="136">
        <f t="shared" si="24"/>
        <v>1</v>
      </c>
      <c r="L109" s="137">
        <f t="shared" si="20"/>
        <v>1</v>
      </c>
      <c r="M109" s="138">
        <f t="shared" si="20"/>
        <v>1</v>
      </c>
    </row>
    <row r="110" spans="1:13">
      <c r="A110">
        <v>130</v>
      </c>
      <c r="B110" s="74">
        <f t="shared" si="21"/>
        <v>1</v>
      </c>
      <c r="C110" s="75">
        <f t="shared" si="22"/>
        <v>1</v>
      </c>
      <c r="D110" s="75">
        <f t="shared" si="23"/>
        <v>1</v>
      </c>
      <c r="F110" s="71">
        <f t="shared" si="14"/>
        <v>0</v>
      </c>
      <c r="G110" s="69">
        <f t="shared" si="25"/>
        <v>0</v>
      </c>
      <c r="H110" s="69">
        <f t="shared" si="25"/>
        <v>0</v>
      </c>
      <c r="I110" s="68"/>
      <c r="K110" s="136">
        <f t="shared" si="24"/>
        <v>1</v>
      </c>
      <c r="L110" s="137">
        <f t="shared" si="20"/>
        <v>1</v>
      </c>
      <c r="M110" s="138">
        <f t="shared" si="20"/>
        <v>1</v>
      </c>
    </row>
    <row r="111" spans="1:13">
      <c r="A111">
        <v>131</v>
      </c>
      <c r="B111" s="74">
        <f t="shared" si="21"/>
        <v>1</v>
      </c>
      <c r="C111" s="75">
        <f t="shared" si="22"/>
        <v>1</v>
      </c>
      <c r="D111" s="75">
        <f t="shared" si="23"/>
        <v>1</v>
      </c>
      <c r="F111" s="71">
        <f t="shared" ref="F111:F130" si="26">MIN(0,(($A$99-$A111)*$F$45)/($A$99-$A$45))</f>
        <v>0</v>
      </c>
      <c r="G111" s="69">
        <f t="shared" si="25"/>
        <v>0</v>
      </c>
      <c r="H111" s="69">
        <f t="shared" si="25"/>
        <v>0</v>
      </c>
      <c r="I111" s="68"/>
      <c r="K111" s="136">
        <f t="shared" si="24"/>
        <v>1</v>
      </c>
      <c r="L111" s="137">
        <f t="shared" si="20"/>
        <v>1</v>
      </c>
      <c r="M111" s="138">
        <f t="shared" si="20"/>
        <v>1</v>
      </c>
    </row>
    <row r="112" spans="1:13">
      <c r="A112">
        <v>132</v>
      </c>
      <c r="B112" s="74">
        <f t="shared" si="21"/>
        <v>1</v>
      </c>
      <c r="C112" s="75">
        <f t="shared" si="22"/>
        <v>1</v>
      </c>
      <c r="D112" s="75">
        <f t="shared" si="23"/>
        <v>1</v>
      </c>
      <c r="F112" s="71">
        <f t="shared" si="26"/>
        <v>0</v>
      </c>
      <c r="G112" s="69">
        <f t="shared" si="25"/>
        <v>0</v>
      </c>
      <c r="H112" s="69">
        <f t="shared" si="25"/>
        <v>0</v>
      </c>
      <c r="I112" s="68"/>
      <c r="K112" s="136">
        <f t="shared" si="24"/>
        <v>1</v>
      </c>
      <c r="L112" s="137">
        <f t="shared" si="20"/>
        <v>1</v>
      </c>
      <c r="M112" s="138">
        <f t="shared" si="20"/>
        <v>1</v>
      </c>
    </row>
    <row r="113" spans="1:13">
      <c r="A113">
        <v>133</v>
      </c>
      <c r="B113" s="74">
        <f t="shared" si="21"/>
        <v>1</v>
      </c>
      <c r="C113" s="75">
        <f t="shared" si="22"/>
        <v>1</v>
      </c>
      <c r="D113" s="75">
        <f t="shared" si="23"/>
        <v>1</v>
      </c>
      <c r="F113" s="71">
        <f t="shared" si="26"/>
        <v>0</v>
      </c>
      <c r="G113" s="69">
        <f t="shared" si="25"/>
        <v>0</v>
      </c>
      <c r="H113" s="69">
        <f t="shared" si="25"/>
        <v>0</v>
      </c>
      <c r="I113" s="68"/>
      <c r="K113" s="136">
        <f t="shared" si="24"/>
        <v>1</v>
      </c>
      <c r="L113" s="137">
        <f t="shared" si="20"/>
        <v>1</v>
      </c>
      <c r="M113" s="138">
        <f t="shared" si="20"/>
        <v>1</v>
      </c>
    </row>
    <row r="114" spans="1:13">
      <c r="A114">
        <v>134</v>
      </c>
      <c r="B114" s="74">
        <f t="shared" si="21"/>
        <v>1</v>
      </c>
      <c r="C114" s="75">
        <f t="shared" si="22"/>
        <v>1</v>
      </c>
      <c r="D114" s="75">
        <f t="shared" si="23"/>
        <v>1</v>
      </c>
      <c r="F114" s="71">
        <f t="shared" si="26"/>
        <v>0</v>
      </c>
      <c r="G114" s="69">
        <f t="shared" si="25"/>
        <v>0</v>
      </c>
      <c r="H114" s="69">
        <f t="shared" si="25"/>
        <v>0</v>
      </c>
      <c r="I114" s="68"/>
      <c r="K114" s="136">
        <f t="shared" si="24"/>
        <v>1</v>
      </c>
      <c r="L114" s="137">
        <f t="shared" si="20"/>
        <v>1</v>
      </c>
      <c r="M114" s="138">
        <f t="shared" si="20"/>
        <v>1</v>
      </c>
    </row>
    <row r="115" spans="1:13">
      <c r="A115">
        <v>135</v>
      </c>
      <c r="B115" s="74">
        <f t="shared" si="21"/>
        <v>1</v>
      </c>
      <c r="C115" s="75">
        <f t="shared" si="22"/>
        <v>1</v>
      </c>
      <c r="D115" s="75">
        <f t="shared" si="23"/>
        <v>1</v>
      </c>
      <c r="F115" s="71">
        <f t="shared" si="26"/>
        <v>0</v>
      </c>
      <c r="G115" s="69">
        <f t="shared" si="25"/>
        <v>0</v>
      </c>
      <c r="H115" s="69">
        <f t="shared" si="25"/>
        <v>0</v>
      </c>
      <c r="I115" s="68"/>
      <c r="K115" s="136">
        <f t="shared" si="24"/>
        <v>1</v>
      </c>
      <c r="L115" s="137">
        <f t="shared" si="24"/>
        <v>1</v>
      </c>
      <c r="M115" s="138">
        <f t="shared" si="24"/>
        <v>1</v>
      </c>
    </row>
    <row r="116" spans="1:13">
      <c r="A116">
        <v>136</v>
      </c>
      <c r="B116" s="74">
        <f t="shared" si="21"/>
        <v>1</v>
      </c>
      <c r="C116" s="75">
        <f t="shared" si="22"/>
        <v>1</v>
      </c>
      <c r="D116" s="75">
        <f t="shared" si="23"/>
        <v>1</v>
      </c>
      <c r="F116" s="71">
        <f t="shared" si="26"/>
        <v>0</v>
      </c>
      <c r="G116" s="69">
        <f t="shared" si="25"/>
        <v>0</v>
      </c>
      <c r="H116" s="69">
        <f t="shared" si="25"/>
        <v>0</v>
      </c>
      <c r="I116" s="68"/>
      <c r="K116" s="136">
        <f t="shared" si="24"/>
        <v>1</v>
      </c>
      <c r="L116" s="137">
        <f t="shared" si="24"/>
        <v>1</v>
      </c>
      <c r="M116" s="138">
        <f t="shared" si="24"/>
        <v>1</v>
      </c>
    </row>
    <row r="117" spans="1:13">
      <c r="A117">
        <v>137</v>
      </c>
      <c r="B117" s="74">
        <f t="shared" si="21"/>
        <v>1</v>
      </c>
      <c r="C117" s="75">
        <f t="shared" si="22"/>
        <v>1</v>
      </c>
      <c r="D117" s="75">
        <f t="shared" si="23"/>
        <v>1</v>
      </c>
      <c r="F117" s="71">
        <f t="shared" si="26"/>
        <v>0</v>
      </c>
      <c r="G117" s="69">
        <f t="shared" si="25"/>
        <v>0</v>
      </c>
      <c r="H117" s="69">
        <f t="shared" si="25"/>
        <v>0</v>
      </c>
      <c r="I117" s="68"/>
      <c r="K117" s="136">
        <f t="shared" si="24"/>
        <v>1</v>
      </c>
      <c r="L117" s="137">
        <f t="shared" si="24"/>
        <v>1</v>
      </c>
      <c r="M117" s="138">
        <f t="shared" si="24"/>
        <v>1</v>
      </c>
    </row>
    <row r="118" spans="1:13">
      <c r="A118">
        <v>138</v>
      </c>
      <c r="B118" s="74">
        <f t="shared" si="21"/>
        <v>1</v>
      </c>
      <c r="C118" s="75">
        <f t="shared" si="22"/>
        <v>1</v>
      </c>
      <c r="D118" s="75">
        <f t="shared" si="23"/>
        <v>1</v>
      </c>
      <c r="F118" s="71">
        <f t="shared" si="26"/>
        <v>0</v>
      </c>
      <c r="G118" s="69">
        <f t="shared" si="25"/>
        <v>0</v>
      </c>
      <c r="H118" s="69">
        <f t="shared" si="25"/>
        <v>0</v>
      </c>
      <c r="I118" s="68"/>
      <c r="K118" s="136">
        <f t="shared" si="24"/>
        <v>1</v>
      </c>
      <c r="L118" s="137">
        <f t="shared" si="24"/>
        <v>1</v>
      </c>
      <c r="M118" s="138">
        <f t="shared" si="24"/>
        <v>1</v>
      </c>
    </row>
    <row r="119" spans="1:13">
      <c r="A119">
        <v>139</v>
      </c>
      <c r="B119" s="74">
        <f t="shared" si="21"/>
        <v>1</v>
      </c>
      <c r="C119" s="75">
        <f t="shared" si="22"/>
        <v>1</v>
      </c>
      <c r="D119" s="75">
        <f t="shared" si="23"/>
        <v>1</v>
      </c>
      <c r="F119" s="71">
        <f t="shared" si="26"/>
        <v>0</v>
      </c>
      <c r="G119" s="69">
        <f t="shared" si="25"/>
        <v>0</v>
      </c>
      <c r="H119" s="69">
        <f t="shared" si="25"/>
        <v>0</v>
      </c>
      <c r="I119" s="68"/>
      <c r="K119" s="136">
        <f t="shared" si="24"/>
        <v>1</v>
      </c>
      <c r="L119" s="137">
        <f t="shared" si="24"/>
        <v>1</v>
      </c>
      <c r="M119" s="138">
        <f t="shared" si="24"/>
        <v>1</v>
      </c>
    </row>
    <row r="120" spans="1:13">
      <c r="A120">
        <v>140</v>
      </c>
      <c r="B120" s="74">
        <f t="shared" si="21"/>
        <v>1</v>
      </c>
      <c r="C120" s="75">
        <f t="shared" si="22"/>
        <v>1</v>
      </c>
      <c r="D120" s="75">
        <f t="shared" si="23"/>
        <v>1</v>
      </c>
      <c r="F120" s="71">
        <f t="shared" si="26"/>
        <v>0</v>
      </c>
      <c r="G120" s="69">
        <f t="shared" si="25"/>
        <v>0</v>
      </c>
      <c r="H120" s="69">
        <f t="shared" si="25"/>
        <v>0</v>
      </c>
      <c r="I120" s="68"/>
      <c r="K120" s="136">
        <f t="shared" si="24"/>
        <v>1</v>
      </c>
      <c r="L120" s="137">
        <f t="shared" si="24"/>
        <v>1</v>
      </c>
      <c r="M120" s="138">
        <f t="shared" si="24"/>
        <v>1</v>
      </c>
    </row>
    <row r="121" spans="1:13">
      <c r="A121">
        <v>141</v>
      </c>
      <c r="B121" s="74">
        <f t="shared" si="21"/>
        <v>1</v>
      </c>
      <c r="C121" s="75">
        <f t="shared" si="22"/>
        <v>1</v>
      </c>
      <c r="D121" s="75">
        <f t="shared" si="23"/>
        <v>1</v>
      </c>
      <c r="F121" s="71">
        <f t="shared" si="26"/>
        <v>0</v>
      </c>
      <c r="G121" s="69">
        <f t="shared" si="25"/>
        <v>0</v>
      </c>
      <c r="H121" s="69">
        <f t="shared" si="25"/>
        <v>0</v>
      </c>
      <c r="I121" s="68"/>
      <c r="K121" s="136">
        <f t="shared" si="24"/>
        <v>1</v>
      </c>
      <c r="L121" s="137">
        <f t="shared" si="24"/>
        <v>1</v>
      </c>
      <c r="M121" s="138">
        <f t="shared" si="24"/>
        <v>1</v>
      </c>
    </row>
    <row r="122" spans="1:13">
      <c r="A122">
        <v>142</v>
      </c>
      <c r="B122" s="74">
        <f t="shared" si="21"/>
        <v>1</v>
      </c>
      <c r="C122" s="75">
        <f t="shared" si="22"/>
        <v>1</v>
      </c>
      <c r="D122" s="75">
        <f t="shared" si="23"/>
        <v>1</v>
      </c>
      <c r="F122" s="71">
        <f t="shared" si="26"/>
        <v>0</v>
      </c>
      <c r="G122" s="69">
        <f t="shared" si="25"/>
        <v>0</v>
      </c>
      <c r="H122" s="69">
        <f t="shared" si="25"/>
        <v>0</v>
      </c>
      <c r="I122" s="68"/>
      <c r="K122" s="136">
        <f t="shared" si="24"/>
        <v>1</v>
      </c>
      <c r="L122" s="137">
        <f t="shared" si="24"/>
        <v>1</v>
      </c>
      <c r="M122" s="138">
        <f t="shared" si="24"/>
        <v>1</v>
      </c>
    </row>
    <row r="123" spans="1:13">
      <c r="A123">
        <v>143</v>
      </c>
      <c r="B123" s="74">
        <f t="shared" si="21"/>
        <v>1</v>
      </c>
      <c r="C123" s="75">
        <f t="shared" si="22"/>
        <v>1</v>
      </c>
      <c r="D123" s="75">
        <f t="shared" si="23"/>
        <v>1</v>
      </c>
      <c r="F123" s="71">
        <f t="shared" si="26"/>
        <v>0</v>
      </c>
      <c r="G123" s="69">
        <f t="shared" si="25"/>
        <v>0</v>
      </c>
      <c r="H123" s="69">
        <f t="shared" si="25"/>
        <v>0</v>
      </c>
      <c r="I123" s="68"/>
      <c r="K123" s="136">
        <f t="shared" si="24"/>
        <v>1</v>
      </c>
      <c r="L123" s="137">
        <f t="shared" si="24"/>
        <v>1</v>
      </c>
      <c r="M123" s="138">
        <f t="shared" si="24"/>
        <v>1</v>
      </c>
    </row>
    <row r="124" spans="1:13">
      <c r="A124">
        <v>144</v>
      </c>
      <c r="B124" s="74">
        <f t="shared" si="21"/>
        <v>1</v>
      </c>
      <c r="C124" s="75">
        <f t="shared" si="22"/>
        <v>1</v>
      </c>
      <c r="D124" s="75">
        <f t="shared" si="23"/>
        <v>1</v>
      </c>
      <c r="F124" s="71">
        <f t="shared" si="26"/>
        <v>0</v>
      </c>
      <c r="G124" s="69">
        <f t="shared" si="25"/>
        <v>0</v>
      </c>
      <c r="H124" s="69">
        <f t="shared" si="25"/>
        <v>0</v>
      </c>
      <c r="I124" s="68"/>
      <c r="K124" s="136">
        <f t="shared" si="24"/>
        <v>1</v>
      </c>
      <c r="L124" s="137">
        <f t="shared" si="24"/>
        <v>1</v>
      </c>
      <c r="M124" s="138">
        <f t="shared" si="24"/>
        <v>1</v>
      </c>
    </row>
    <row r="125" spans="1:13">
      <c r="A125">
        <v>145</v>
      </c>
      <c r="B125" s="74">
        <f t="shared" si="21"/>
        <v>1</v>
      </c>
      <c r="C125" s="75">
        <f t="shared" si="22"/>
        <v>1</v>
      </c>
      <c r="D125" s="75">
        <f t="shared" si="23"/>
        <v>1</v>
      </c>
      <c r="F125" s="71">
        <f t="shared" si="26"/>
        <v>0</v>
      </c>
      <c r="G125" s="69">
        <f t="shared" si="25"/>
        <v>0</v>
      </c>
      <c r="H125" s="69">
        <f t="shared" si="25"/>
        <v>0</v>
      </c>
      <c r="I125" s="68"/>
      <c r="K125" s="136">
        <f t="shared" si="24"/>
        <v>1</v>
      </c>
      <c r="L125" s="137">
        <f t="shared" si="24"/>
        <v>1</v>
      </c>
      <c r="M125" s="138">
        <f t="shared" si="24"/>
        <v>1</v>
      </c>
    </row>
    <row r="126" spans="1:13">
      <c r="A126">
        <v>146</v>
      </c>
      <c r="B126" s="74">
        <f t="shared" si="21"/>
        <v>1</v>
      </c>
      <c r="C126" s="75">
        <f t="shared" si="22"/>
        <v>1</v>
      </c>
      <c r="D126" s="75">
        <f t="shared" si="23"/>
        <v>1</v>
      </c>
      <c r="F126" s="71">
        <f t="shared" si="26"/>
        <v>0</v>
      </c>
      <c r="G126" s="69">
        <f t="shared" si="25"/>
        <v>0</v>
      </c>
      <c r="H126" s="69">
        <f t="shared" si="25"/>
        <v>0</v>
      </c>
      <c r="I126" s="68"/>
      <c r="K126" s="136">
        <f t="shared" si="24"/>
        <v>1</v>
      </c>
      <c r="L126" s="137">
        <f t="shared" si="24"/>
        <v>1</v>
      </c>
      <c r="M126" s="138">
        <f t="shared" si="24"/>
        <v>1</v>
      </c>
    </row>
    <row r="127" spans="1:13">
      <c r="A127">
        <v>147</v>
      </c>
      <c r="B127" s="74">
        <f t="shared" si="21"/>
        <v>1</v>
      </c>
      <c r="C127" s="75">
        <f t="shared" si="22"/>
        <v>1</v>
      </c>
      <c r="D127" s="75">
        <f t="shared" si="23"/>
        <v>1</v>
      </c>
      <c r="F127" s="71">
        <f t="shared" si="26"/>
        <v>0</v>
      </c>
      <c r="G127" s="69">
        <f t="shared" si="25"/>
        <v>0</v>
      </c>
      <c r="H127" s="69">
        <f t="shared" si="25"/>
        <v>0</v>
      </c>
      <c r="I127" s="68"/>
      <c r="K127" s="136">
        <f t="shared" si="24"/>
        <v>1</v>
      </c>
      <c r="L127" s="137">
        <f t="shared" si="24"/>
        <v>1</v>
      </c>
      <c r="M127" s="138">
        <f t="shared" si="24"/>
        <v>1</v>
      </c>
    </row>
    <row r="128" spans="1:13">
      <c r="A128">
        <v>148</v>
      </c>
      <c r="B128" s="74">
        <f t="shared" si="21"/>
        <v>1</v>
      </c>
      <c r="C128" s="75">
        <f t="shared" si="22"/>
        <v>1</v>
      </c>
      <c r="D128" s="75">
        <f t="shared" si="23"/>
        <v>1</v>
      </c>
      <c r="F128" s="71">
        <f t="shared" si="26"/>
        <v>0</v>
      </c>
      <c r="G128" s="69">
        <f t="shared" si="25"/>
        <v>0</v>
      </c>
      <c r="H128" s="69">
        <f t="shared" si="25"/>
        <v>0</v>
      </c>
      <c r="I128" s="68"/>
      <c r="K128" s="136">
        <f t="shared" si="24"/>
        <v>1</v>
      </c>
      <c r="L128" s="137">
        <f t="shared" si="24"/>
        <v>1</v>
      </c>
      <c r="M128" s="138">
        <f t="shared" si="24"/>
        <v>1</v>
      </c>
    </row>
    <row r="129" spans="1:13">
      <c r="A129">
        <v>149</v>
      </c>
      <c r="B129" s="74">
        <f t="shared" si="21"/>
        <v>1</v>
      </c>
      <c r="C129" s="75">
        <f t="shared" si="22"/>
        <v>1</v>
      </c>
      <c r="D129" s="75">
        <f t="shared" si="23"/>
        <v>1</v>
      </c>
      <c r="F129" s="71">
        <f t="shared" si="26"/>
        <v>0</v>
      </c>
      <c r="G129" s="69">
        <f t="shared" si="25"/>
        <v>0</v>
      </c>
      <c r="H129" s="69">
        <f t="shared" si="25"/>
        <v>0</v>
      </c>
      <c r="I129" s="68"/>
      <c r="K129" s="136">
        <f t="shared" si="24"/>
        <v>1</v>
      </c>
      <c r="L129" s="137">
        <f t="shared" si="24"/>
        <v>1</v>
      </c>
      <c r="M129" s="138">
        <f t="shared" si="24"/>
        <v>1</v>
      </c>
    </row>
    <row r="130" spans="1:13">
      <c r="A130">
        <v>150</v>
      </c>
      <c r="B130" s="76">
        <f t="shared" si="21"/>
        <v>1</v>
      </c>
      <c r="C130" s="77">
        <f t="shared" si="22"/>
        <v>1</v>
      </c>
      <c r="D130" s="77">
        <f t="shared" si="23"/>
        <v>1</v>
      </c>
      <c r="E130" s="78"/>
      <c r="F130" s="72">
        <f t="shared" si="26"/>
        <v>0</v>
      </c>
      <c r="G130" s="70">
        <f t="shared" si="25"/>
        <v>0</v>
      </c>
      <c r="H130" s="70">
        <f t="shared" si="25"/>
        <v>0</v>
      </c>
      <c r="I130" s="73"/>
      <c r="K130" s="139">
        <f t="shared" si="24"/>
        <v>1</v>
      </c>
      <c r="L130" s="140">
        <f t="shared" si="24"/>
        <v>1</v>
      </c>
      <c r="M130" s="141">
        <f t="shared" si="24"/>
        <v>1</v>
      </c>
    </row>
  </sheetData>
  <mergeCells count="3">
    <mergeCell ref="B4:E4"/>
    <mergeCell ref="F4:I4"/>
    <mergeCell ref="K4:M4"/>
  </mergeCells>
  <hyperlinks>
    <hyperlink ref="A1" location="'Table of Contents'!A1" display="Table of Contents" xr:uid="{13BCE941-30C6-2B4D-B4DB-4355BD0A1F7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8C4F6-97A6-1B4B-B3AE-178279264103}">
  <sheetPr codeName="Sheet5">
    <tabColor theme="8"/>
  </sheetPr>
  <dimension ref="A1:H24"/>
  <sheetViews>
    <sheetView showGridLines="0" zoomScaleNormal="100" workbookViewId="0">
      <selection activeCell="I25" sqref="I25"/>
    </sheetView>
  </sheetViews>
  <sheetFormatPr defaultColWidth="11" defaultRowHeight="15.75"/>
  <cols>
    <col min="1" max="1" width="11.125" customWidth="1"/>
    <col min="2" max="3" width="17" customWidth="1"/>
    <col min="4" max="4" width="18.25" customWidth="1"/>
  </cols>
  <sheetData>
    <row r="1" spans="1:8" s="259" customFormat="1">
      <c r="A1" s="259" t="s">
        <v>8</v>
      </c>
    </row>
    <row r="2" spans="1:8" ht="24">
      <c r="A2" s="3" t="s">
        <v>86</v>
      </c>
    </row>
    <row r="3" spans="1:8">
      <c r="A3" s="31"/>
      <c r="F3" s="267" t="s">
        <v>87</v>
      </c>
      <c r="G3" s="267"/>
      <c r="H3" s="267"/>
    </row>
    <row r="4" spans="1:8">
      <c r="A4" s="206" t="s">
        <v>88</v>
      </c>
      <c r="B4" s="207" t="s">
        <v>80</v>
      </c>
      <c r="C4" s="207" t="s">
        <v>81</v>
      </c>
      <c r="D4" s="208" t="s">
        <v>82</v>
      </c>
      <c r="F4" s="177" t="s">
        <v>80</v>
      </c>
      <c r="G4" s="178" t="s">
        <v>89</v>
      </c>
      <c r="H4" s="179" t="s">
        <v>90</v>
      </c>
    </row>
    <row r="5" spans="1:8">
      <c r="A5" s="209">
        <v>1</v>
      </c>
      <c r="B5" s="210">
        <f>'Inputs &amp; Results'!$B$22*F5</f>
        <v>8.6011506944848031E-3</v>
      </c>
      <c r="C5" s="210">
        <f>'Inputs &amp; Results'!$B$22*G5</f>
        <v>9.4302857524040905E-3</v>
      </c>
      <c r="D5" s="211">
        <f>'Inputs &amp; Results'!$B$22*H5</f>
        <v>9.543710345351621E-3</v>
      </c>
      <c r="F5" s="200">
        <v>8.6011506944848031E-3</v>
      </c>
      <c r="G5" s="201">
        <v>9.4302857524040905E-3</v>
      </c>
      <c r="H5" s="202">
        <v>9.543710345351621E-3</v>
      </c>
    </row>
    <row r="6" spans="1:8">
      <c r="A6" s="212">
        <v>2</v>
      </c>
      <c r="B6" s="213">
        <f>'Inputs &amp; Results'!$B$22*F6</f>
        <v>7.8201568114995099E-3</v>
      </c>
      <c r="C6" s="213">
        <f>'Inputs &amp; Results'!$B$22*G6</f>
        <v>9.5454953338119167E-3</v>
      </c>
      <c r="D6" s="214">
        <f>'Inputs &amp; Results'!$B$22*H6</f>
        <v>9.6026260242596962E-3</v>
      </c>
      <c r="F6" s="200">
        <v>7.8201568114995099E-3</v>
      </c>
      <c r="G6" s="201">
        <v>9.5454953338119167E-3</v>
      </c>
      <c r="H6" s="202">
        <v>9.6026260242596962E-3</v>
      </c>
    </row>
    <row r="7" spans="1:8">
      <c r="A7" s="212">
        <v>3</v>
      </c>
      <c r="B7" s="213">
        <f>'Inputs &amp; Results'!$B$22*F7</f>
        <v>8.710463336279943E-3</v>
      </c>
      <c r="C7" s="213">
        <f>'Inputs &amp; Results'!$B$22*G7</f>
        <v>9.8105264836378277E-3</v>
      </c>
      <c r="D7" s="214">
        <f>'Inputs &amp; Results'!$B$22*H7</f>
        <v>9.1095162381299583E-3</v>
      </c>
      <c r="F7" s="200">
        <v>8.710463336279943E-3</v>
      </c>
      <c r="G7" s="201">
        <v>9.8105264836378277E-3</v>
      </c>
      <c r="H7" s="202">
        <v>9.1095162381299583E-3</v>
      </c>
    </row>
    <row r="8" spans="1:8">
      <c r="A8" s="212">
        <v>4</v>
      </c>
      <c r="B8" s="213">
        <f>'Inputs &amp; Results'!$B$22*F8</f>
        <v>7.7029202115428833E-3</v>
      </c>
      <c r="C8" s="213">
        <f>'Inputs &amp; Results'!$B$22*G8</f>
        <v>9.3207513194393833E-3</v>
      </c>
      <c r="D8" s="214">
        <f>'Inputs &amp; Results'!$B$22*H8</f>
        <v>9.3262965362191814E-3</v>
      </c>
      <c r="F8" s="200">
        <v>7.7029202115428833E-3</v>
      </c>
      <c r="G8" s="201">
        <v>9.3207513194393833E-3</v>
      </c>
      <c r="H8" s="202">
        <v>9.3262965362191814E-3</v>
      </c>
    </row>
    <row r="9" spans="1:8">
      <c r="A9" s="212">
        <v>5</v>
      </c>
      <c r="B9" s="213">
        <f>'Inputs &amp; Results'!$B$22*F9</f>
        <v>9.0745886924230874E-3</v>
      </c>
      <c r="C9" s="213">
        <f>'Inputs &amp; Results'!$B$22*G9</f>
        <v>9.1711135488909135E-3</v>
      </c>
      <c r="D9" s="214">
        <f>'Inputs &amp; Results'!$B$22*H9</f>
        <v>8.999150630253196E-3</v>
      </c>
      <c r="F9" s="200">
        <v>9.0745886924230874E-3</v>
      </c>
      <c r="G9" s="201">
        <v>9.1711135488909135E-3</v>
      </c>
      <c r="H9" s="202">
        <v>8.999150630253196E-3</v>
      </c>
    </row>
    <row r="10" spans="1:8">
      <c r="A10" s="212">
        <v>6</v>
      </c>
      <c r="B10" s="213">
        <f>'Inputs &amp; Results'!$B$22*F10</f>
        <v>9.2631690066504804E-3</v>
      </c>
      <c r="C10" s="213">
        <f>'Inputs &amp; Results'!$B$22*G10</f>
        <v>9.5232336668984487E-3</v>
      </c>
      <c r="D10" s="214">
        <f>'Inputs &amp; Results'!$B$22*H10</f>
        <v>9.6738845069457916E-3</v>
      </c>
      <c r="F10" s="200">
        <v>9.2631690066504804E-3</v>
      </c>
      <c r="G10" s="201">
        <v>9.5232336668984487E-3</v>
      </c>
      <c r="H10" s="202">
        <v>9.6738845069457916E-3</v>
      </c>
    </row>
    <row r="11" spans="1:8">
      <c r="A11" s="212">
        <v>7</v>
      </c>
      <c r="B11" s="213">
        <f>'Inputs &amp; Results'!$B$22*F11</f>
        <v>9.7696742495242961E-3</v>
      </c>
      <c r="C11" s="213">
        <f>'Inputs &amp; Results'!$B$22*G11</f>
        <v>9.1770666142574828E-3</v>
      </c>
      <c r="D11" s="214">
        <f>'Inputs &amp; Results'!$B$22*H11</f>
        <v>9.2830646624254814E-3</v>
      </c>
      <c r="F11" s="200">
        <v>9.7696742495242961E-3</v>
      </c>
      <c r="G11" s="201">
        <v>9.1770666142574828E-3</v>
      </c>
      <c r="H11" s="202">
        <v>9.2830646624254814E-3</v>
      </c>
    </row>
    <row r="12" spans="1:8">
      <c r="A12" s="212">
        <v>8</v>
      </c>
      <c r="B12" s="213">
        <f>'Inputs &amp; Results'!$B$22*F12</f>
        <v>8.3835633203806267E-3</v>
      </c>
      <c r="C12" s="213">
        <f>'Inputs &amp; Results'!$B$22*G12</f>
        <v>9.4759486319432509E-3</v>
      </c>
      <c r="D12" s="214">
        <f>'Inputs &amp; Results'!$B$22*H12</f>
        <v>9.0851295092389418E-3</v>
      </c>
      <c r="F12" s="200">
        <v>8.3835633203806267E-3</v>
      </c>
      <c r="G12" s="201">
        <v>9.4759486319432509E-3</v>
      </c>
      <c r="H12" s="202">
        <v>9.0851295092389418E-3</v>
      </c>
    </row>
    <row r="13" spans="1:8">
      <c r="A13" s="212">
        <v>9</v>
      </c>
      <c r="B13" s="213">
        <f>'Inputs &amp; Results'!$B$22*F13</f>
        <v>9.5618857238047635E-3</v>
      </c>
      <c r="C13" s="213">
        <f>'Inputs &amp; Results'!$B$22*G13</f>
        <v>9.3447604917061989E-3</v>
      </c>
      <c r="D13" s="214">
        <f>'Inputs &amp; Results'!$B$22*H13</f>
        <v>9.463794162476967E-3</v>
      </c>
      <c r="F13" s="200">
        <v>9.5618857238047635E-3</v>
      </c>
      <c r="G13" s="201">
        <v>9.3447604917061989E-3</v>
      </c>
      <c r="H13" s="202">
        <v>9.463794162476967E-3</v>
      </c>
    </row>
    <row r="14" spans="1:8">
      <c r="A14" s="212">
        <v>10</v>
      </c>
      <c r="B14" s="213">
        <f>'Inputs &amp; Results'!$B$22*F14</f>
        <v>8.4652995694373488E-3</v>
      </c>
      <c r="C14" s="213">
        <f>'Inputs &amp; Results'!$B$22*G14</f>
        <v>9.3762477896297981E-3</v>
      </c>
      <c r="D14" s="214">
        <f>'Inputs &amp; Results'!$B$22*H14</f>
        <v>8.8545338570517346E-3</v>
      </c>
      <c r="F14" s="200">
        <v>8.4652995694373488E-3</v>
      </c>
      <c r="G14" s="201">
        <v>9.3762477896297981E-3</v>
      </c>
      <c r="H14" s="202">
        <v>8.8545338570517346E-3</v>
      </c>
    </row>
    <row r="15" spans="1:8">
      <c r="A15" s="212">
        <v>11</v>
      </c>
      <c r="B15" s="213">
        <f>'Inputs &amp; Results'!$B$22*F15</f>
        <v>8.7352065051123102E-3</v>
      </c>
      <c r="C15" s="213">
        <f>'Inputs &amp; Results'!$B$22*G15</f>
        <v>9.0305423865641998E-3</v>
      </c>
      <c r="D15" s="214">
        <f>'Inputs &amp; Results'!$B$22*H15</f>
        <v>9.0860401965666606E-3</v>
      </c>
      <c r="F15" s="200">
        <v>8.7352065051123102E-3</v>
      </c>
      <c r="G15" s="201">
        <v>9.0305423865641998E-3</v>
      </c>
      <c r="H15" s="202">
        <v>9.0860401965666606E-3</v>
      </c>
    </row>
    <row r="16" spans="1:8">
      <c r="A16" s="212">
        <v>12</v>
      </c>
      <c r="B16" s="213">
        <f>'Inputs &amp; Results'!$B$22*F16</f>
        <v>7.9361520871631622E-3</v>
      </c>
      <c r="C16" s="213">
        <f>'Inputs &amp; Results'!$B$22*G16</f>
        <v>9.1483433601306143E-3</v>
      </c>
      <c r="D16" s="214">
        <f>'Inputs &amp; Results'!$B$22*H16</f>
        <v>8.6264665524980588E-3</v>
      </c>
      <c r="F16" s="200">
        <v>7.9361520871631622E-3</v>
      </c>
      <c r="G16" s="201">
        <v>9.1483433601306143E-3</v>
      </c>
      <c r="H16" s="202">
        <v>8.6264665524980588E-3</v>
      </c>
    </row>
    <row r="17" spans="1:8">
      <c r="A17" s="212">
        <v>13</v>
      </c>
      <c r="B17" s="213">
        <f>'Inputs &amp; Results'!$B$22*F17</f>
        <v>7.4619340526368861E-3</v>
      </c>
      <c r="C17" s="213">
        <f>'Inputs &amp; Results'!$B$22*G17</f>
        <v>9.2323818738913078E-3</v>
      </c>
      <c r="D17" s="214">
        <f>'Inputs &amp; Results'!$B$22*H17</f>
        <v>8.7097205834053056E-3</v>
      </c>
      <c r="F17" s="200">
        <v>7.4619340526368861E-3</v>
      </c>
      <c r="G17" s="201">
        <v>9.2323818738913078E-3</v>
      </c>
      <c r="H17" s="202">
        <v>8.7097205834053056E-3</v>
      </c>
    </row>
    <row r="18" spans="1:8">
      <c r="A18" s="212">
        <v>14</v>
      </c>
      <c r="B18" s="213">
        <f>'Inputs &amp; Results'!$B$22*F18</f>
        <v>8.4507042253521118E-3</v>
      </c>
      <c r="C18" s="213">
        <f>'Inputs &amp; Results'!$B$22*G18</f>
        <v>8.9942575125112421E-3</v>
      </c>
      <c r="D18" s="214">
        <f>'Inputs &amp; Results'!$B$22*H18</f>
        <v>8.8982161594963281E-3</v>
      </c>
      <c r="F18" s="200">
        <v>8.4507042253521118E-3</v>
      </c>
      <c r="G18" s="201">
        <v>8.9942575125112421E-3</v>
      </c>
      <c r="H18" s="202">
        <v>8.8982161594963281E-3</v>
      </c>
    </row>
    <row r="19" spans="1:8">
      <c r="A19" s="212">
        <v>15</v>
      </c>
      <c r="B19" s="213">
        <f>'Inputs &amp; Results'!$B$22*F19</f>
        <v>7.8254526162212356E-3</v>
      </c>
      <c r="C19" s="213">
        <f>'Inputs &amp; Results'!$B$22*G19</f>
        <v>8.5066036350039398E-3</v>
      </c>
      <c r="D19" s="214">
        <f>'Inputs &amp; Results'!$B$22*H19</f>
        <v>8.9123080926359621E-3</v>
      </c>
      <c r="F19" s="200">
        <v>7.8254526162212356E-3</v>
      </c>
      <c r="G19" s="201">
        <v>8.5066036350039398E-3</v>
      </c>
      <c r="H19" s="202">
        <v>8.9123080926359621E-3</v>
      </c>
    </row>
    <row r="20" spans="1:8">
      <c r="A20" s="212">
        <v>16</v>
      </c>
      <c r="B20" s="213">
        <f>'Inputs &amp; Results'!$B$22*F20</f>
        <v>8.4785314250155567E-3</v>
      </c>
      <c r="C20" s="213">
        <f>'Inputs &amp; Results'!$B$22*G20</f>
        <v>8.5384386407432351E-3</v>
      </c>
      <c r="D20" s="214">
        <f>'Inputs &amp; Results'!$B$22*H20</f>
        <v>8.4138780854095263E-3</v>
      </c>
      <c r="F20" s="200">
        <v>8.4785314250155567E-3</v>
      </c>
      <c r="G20" s="201">
        <v>8.5384386407432351E-3</v>
      </c>
      <c r="H20" s="202">
        <v>8.4138780854095263E-3</v>
      </c>
    </row>
    <row r="21" spans="1:8">
      <c r="A21" s="212">
        <v>17</v>
      </c>
      <c r="B21" s="213">
        <f>'Inputs &amp; Results'!$B$22*F21</f>
        <v>9.5185287866186123E-3</v>
      </c>
      <c r="C21" s="213">
        <f>'Inputs &amp; Results'!$B$22*G21</f>
        <v>7.5948896976899653E-3</v>
      </c>
      <c r="D21" s="214">
        <f>'Inputs &amp; Results'!$B$22*H21</f>
        <v>8.2990429515927694E-3</v>
      </c>
      <c r="F21" s="200">
        <v>9.5185287866186123E-3</v>
      </c>
      <c r="G21" s="201">
        <v>7.5948896976899653E-3</v>
      </c>
      <c r="H21" s="202">
        <v>8.2990429515927694E-3</v>
      </c>
    </row>
    <row r="22" spans="1:8">
      <c r="A22" s="212">
        <v>18</v>
      </c>
      <c r="B22" s="213">
        <f>'Inputs &amp; Results'!$B$22*F22</f>
        <v>7.730786721236926E-3</v>
      </c>
      <c r="C22" s="213">
        <f>'Inputs &amp; Results'!$B$22*G22</f>
        <v>7.9489064510200325E-3</v>
      </c>
      <c r="D22" s="214">
        <f>'Inputs &amp; Results'!$B$22*H22</f>
        <v>7.7465602959879759E-3</v>
      </c>
      <c r="F22" s="200">
        <v>7.730786721236926E-3</v>
      </c>
      <c r="G22" s="201">
        <v>7.9489064510200325E-3</v>
      </c>
      <c r="H22" s="202">
        <v>7.7465602959879759E-3</v>
      </c>
    </row>
    <row r="23" spans="1:8">
      <c r="A23" s="212">
        <v>19</v>
      </c>
      <c r="B23" s="213">
        <f>'Inputs &amp; Results'!$B$22*F23</f>
        <v>0.75921375921375922</v>
      </c>
      <c r="C23" s="213">
        <f>'Inputs &amp; Results'!$B$22*G23</f>
        <v>0.77652634350408101</v>
      </c>
      <c r="D23" s="214">
        <f>'Inputs &amp; Results'!$B$22*H23</f>
        <v>0.77299862805443287</v>
      </c>
      <c r="F23" s="200">
        <v>0.75921375921375922</v>
      </c>
      <c r="G23" s="201">
        <v>0.77652634350408101</v>
      </c>
      <c r="H23" s="202">
        <v>0.77299862805443287</v>
      </c>
    </row>
    <row r="24" spans="1:8">
      <c r="A24" s="215">
        <v>20</v>
      </c>
      <c r="B24" s="216">
        <f>'Inputs &amp; Results'!$B$22*F24</f>
        <v>0</v>
      </c>
      <c r="C24" s="216">
        <f>'Inputs &amp; Results'!$B$22*G24</f>
        <v>0</v>
      </c>
      <c r="D24" s="217">
        <f>'Inputs &amp; Results'!$B$22*H24</f>
        <v>0</v>
      </c>
      <c r="F24" s="203">
        <v>0</v>
      </c>
      <c r="G24" s="204">
        <v>0</v>
      </c>
      <c r="H24" s="205">
        <v>0</v>
      </c>
    </row>
  </sheetData>
  <mergeCells count="2">
    <mergeCell ref="F3:H3"/>
    <mergeCell ref="A1:XFD1"/>
  </mergeCells>
  <hyperlinks>
    <hyperlink ref="A1" location="'Table of Contents'!A1" display="Table of Contents" xr:uid="{1075C4CA-911B-D845-8890-13BB16CB6C3C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5FEAA-5CF7-4548-875A-D64A3058B656}">
  <sheetPr codeName="Sheet6">
    <tabColor theme="4"/>
  </sheetPr>
  <dimension ref="A1:AY80"/>
  <sheetViews>
    <sheetView showGridLines="0" zoomScale="80" zoomScaleNormal="80" workbookViewId="0">
      <selection activeCell="Q24" sqref="Q24"/>
    </sheetView>
  </sheetViews>
  <sheetFormatPr defaultColWidth="10.625" defaultRowHeight="15.75"/>
  <cols>
    <col min="1" max="1" width="35.875" customWidth="1"/>
    <col min="2" max="2" width="17.375" customWidth="1"/>
    <col min="3" max="3" width="18.875" customWidth="1"/>
    <col min="5" max="5" width="11.875" bestFit="1" customWidth="1"/>
    <col min="6" max="6" width="12.5" customWidth="1"/>
    <col min="8" max="8" width="10.875" bestFit="1" customWidth="1"/>
    <col min="9" max="9" width="13.875" customWidth="1"/>
    <col min="10" max="11" width="11.125" customWidth="1"/>
    <col min="12" max="12" width="10.125" customWidth="1"/>
    <col min="13" max="13" width="10.875" customWidth="1"/>
    <col min="15" max="15" width="14" customWidth="1"/>
    <col min="16" max="16" width="12.875" customWidth="1"/>
    <col min="17" max="17" width="11.625" bestFit="1" customWidth="1"/>
    <col min="18" max="18" width="9.625" customWidth="1"/>
    <col min="19" max="19" width="11" customWidth="1"/>
    <col min="22" max="22" width="11.5" bestFit="1" customWidth="1"/>
    <col min="24" max="24" width="11.5" bestFit="1" customWidth="1"/>
    <col min="26" max="26" width="11.375" customWidth="1"/>
    <col min="27" max="27" width="14.5" customWidth="1"/>
    <col min="28" max="28" width="18.875" customWidth="1"/>
    <col min="29" max="29" width="13.625" bestFit="1" customWidth="1"/>
    <col min="30" max="35" width="14.5" customWidth="1"/>
    <col min="36" max="36" width="14.625" bestFit="1" customWidth="1"/>
    <col min="39" max="39" width="11" bestFit="1" customWidth="1"/>
    <col min="40" max="40" width="12.5" customWidth="1"/>
    <col min="41" max="41" width="13" bestFit="1" customWidth="1"/>
    <col min="45" max="45" width="12" bestFit="1" customWidth="1"/>
    <col min="252" max="252" width="10" customWidth="1"/>
    <col min="253" max="253" width="15.5" customWidth="1"/>
    <col min="257" max="257" width="12.5" customWidth="1"/>
    <col min="259" max="259" width="9.5" customWidth="1"/>
    <col min="260" max="262" width="11.125" customWidth="1"/>
    <col min="263" max="263" width="5.625" customWidth="1"/>
    <col min="264" max="264" width="10.875" customWidth="1"/>
    <col min="269" max="269" width="8.125" customWidth="1"/>
    <col min="270" max="270" width="5.625" customWidth="1"/>
    <col min="275" max="275" width="5.625" customWidth="1"/>
    <col min="277" max="277" width="11.375" customWidth="1"/>
    <col min="284" max="284" width="12.125" customWidth="1"/>
    <col min="285" max="285" width="13.5" customWidth="1"/>
    <col min="292" max="292" width="11.125" customWidth="1"/>
    <col min="296" max="296" width="9.5" bestFit="1" customWidth="1"/>
    <col min="508" max="508" width="10" customWidth="1"/>
    <col min="509" max="509" width="15.5" customWidth="1"/>
    <col min="513" max="513" width="12.5" customWidth="1"/>
    <col min="515" max="515" width="9.5" customWidth="1"/>
    <col min="516" max="518" width="11.125" customWidth="1"/>
    <col min="519" max="519" width="5.625" customWidth="1"/>
    <col min="520" max="520" width="10.875" customWidth="1"/>
    <col min="525" max="525" width="8.125" customWidth="1"/>
    <col min="526" max="526" width="5.625" customWidth="1"/>
    <col min="531" max="531" width="5.625" customWidth="1"/>
    <col min="533" max="533" width="11.375" customWidth="1"/>
    <col min="540" max="540" width="12.125" customWidth="1"/>
    <col min="541" max="541" width="13.5" customWidth="1"/>
    <col min="548" max="548" width="11.125" customWidth="1"/>
    <col min="552" max="552" width="9.5" bestFit="1" customWidth="1"/>
    <col min="764" max="764" width="10" customWidth="1"/>
    <col min="765" max="765" width="15.5" customWidth="1"/>
    <col min="769" max="769" width="12.5" customWidth="1"/>
    <col min="771" max="771" width="9.5" customWidth="1"/>
    <col min="772" max="774" width="11.125" customWidth="1"/>
    <col min="775" max="775" width="5.625" customWidth="1"/>
    <col min="776" max="776" width="10.875" customWidth="1"/>
    <col min="781" max="781" width="8.125" customWidth="1"/>
    <col min="782" max="782" width="5.625" customWidth="1"/>
    <col min="787" max="787" width="5.625" customWidth="1"/>
    <col min="789" max="789" width="11.375" customWidth="1"/>
    <col min="796" max="796" width="12.125" customWidth="1"/>
    <col min="797" max="797" width="13.5" customWidth="1"/>
    <col min="804" max="804" width="11.125" customWidth="1"/>
    <col min="808" max="808" width="9.5" bestFit="1" customWidth="1"/>
    <col min="1020" max="1020" width="10" customWidth="1"/>
    <col min="1021" max="1021" width="15.5" customWidth="1"/>
    <col min="1025" max="1025" width="12.5" customWidth="1"/>
    <col min="1027" max="1027" width="9.5" customWidth="1"/>
    <col min="1028" max="1030" width="11.125" customWidth="1"/>
    <col min="1031" max="1031" width="5.625" customWidth="1"/>
    <col min="1032" max="1032" width="10.875" customWidth="1"/>
    <col min="1037" max="1037" width="8.125" customWidth="1"/>
    <col min="1038" max="1038" width="5.625" customWidth="1"/>
    <col min="1043" max="1043" width="5.625" customWidth="1"/>
    <col min="1045" max="1045" width="11.375" customWidth="1"/>
    <col min="1052" max="1052" width="12.125" customWidth="1"/>
    <col min="1053" max="1053" width="13.5" customWidth="1"/>
    <col min="1060" max="1060" width="11.125" customWidth="1"/>
    <col min="1064" max="1064" width="9.5" bestFit="1" customWidth="1"/>
    <col min="1276" max="1276" width="10" customWidth="1"/>
    <col min="1277" max="1277" width="15.5" customWidth="1"/>
    <col min="1281" max="1281" width="12.5" customWidth="1"/>
    <col min="1283" max="1283" width="9.5" customWidth="1"/>
    <col min="1284" max="1286" width="11.125" customWidth="1"/>
    <col min="1287" max="1287" width="5.625" customWidth="1"/>
    <col min="1288" max="1288" width="10.875" customWidth="1"/>
    <col min="1293" max="1293" width="8.125" customWidth="1"/>
    <col min="1294" max="1294" width="5.625" customWidth="1"/>
    <col min="1299" max="1299" width="5.625" customWidth="1"/>
    <col min="1301" max="1301" width="11.375" customWidth="1"/>
    <col min="1308" max="1308" width="12.125" customWidth="1"/>
    <col min="1309" max="1309" width="13.5" customWidth="1"/>
    <col min="1316" max="1316" width="11.125" customWidth="1"/>
    <col min="1320" max="1320" width="9.5" bestFit="1" customWidth="1"/>
    <col min="1532" max="1532" width="10" customWidth="1"/>
    <col min="1533" max="1533" width="15.5" customWidth="1"/>
    <col min="1537" max="1537" width="12.5" customWidth="1"/>
    <col min="1539" max="1539" width="9.5" customWidth="1"/>
    <col min="1540" max="1542" width="11.125" customWidth="1"/>
    <col min="1543" max="1543" width="5.625" customWidth="1"/>
    <col min="1544" max="1544" width="10.875" customWidth="1"/>
    <col min="1549" max="1549" width="8.125" customWidth="1"/>
    <col min="1550" max="1550" width="5.625" customWidth="1"/>
    <col min="1555" max="1555" width="5.625" customWidth="1"/>
    <col min="1557" max="1557" width="11.375" customWidth="1"/>
    <col min="1564" max="1564" width="12.125" customWidth="1"/>
    <col min="1565" max="1565" width="13.5" customWidth="1"/>
    <col min="1572" max="1572" width="11.125" customWidth="1"/>
    <col min="1576" max="1576" width="9.5" bestFit="1" customWidth="1"/>
    <col min="1788" max="1788" width="10" customWidth="1"/>
    <col min="1789" max="1789" width="15.5" customWidth="1"/>
    <col min="1793" max="1793" width="12.5" customWidth="1"/>
    <col min="1795" max="1795" width="9.5" customWidth="1"/>
    <col min="1796" max="1798" width="11.125" customWidth="1"/>
    <col min="1799" max="1799" width="5.625" customWidth="1"/>
    <col min="1800" max="1800" width="10.875" customWidth="1"/>
    <col min="1805" max="1805" width="8.125" customWidth="1"/>
    <col min="1806" max="1806" width="5.625" customWidth="1"/>
    <col min="1811" max="1811" width="5.625" customWidth="1"/>
    <col min="1813" max="1813" width="11.375" customWidth="1"/>
    <col min="1820" max="1820" width="12.125" customWidth="1"/>
    <col min="1821" max="1821" width="13.5" customWidth="1"/>
    <col min="1828" max="1828" width="11.125" customWidth="1"/>
    <col min="1832" max="1832" width="9.5" bestFit="1" customWidth="1"/>
    <col min="2044" max="2044" width="10" customWidth="1"/>
    <col min="2045" max="2045" width="15.5" customWidth="1"/>
    <col min="2049" max="2049" width="12.5" customWidth="1"/>
    <col min="2051" max="2051" width="9.5" customWidth="1"/>
    <col min="2052" max="2054" width="11.125" customWidth="1"/>
    <col min="2055" max="2055" width="5.625" customWidth="1"/>
    <col min="2056" max="2056" width="10.875" customWidth="1"/>
    <col min="2061" max="2061" width="8.125" customWidth="1"/>
    <col min="2062" max="2062" width="5.625" customWidth="1"/>
    <col min="2067" max="2067" width="5.625" customWidth="1"/>
    <col min="2069" max="2069" width="11.375" customWidth="1"/>
    <col min="2076" max="2076" width="12.125" customWidth="1"/>
    <col min="2077" max="2077" width="13.5" customWidth="1"/>
    <col min="2084" max="2084" width="11.125" customWidth="1"/>
    <col min="2088" max="2088" width="9.5" bestFit="1" customWidth="1"/>
    <col min="2300" max="2300" width="10" customWidth="1"/>
    <col min="2301" max="2301" width="15.5" customWidth="1"/>
    <col min="2305" max="2305" width="12.5" customWidth="1"/>
    <col min="2307" max="2307" width="9.5" customWidth="1"/>
    <col min="2308" max="2310" width="11.125" customWidth="1"/>
    <col min="2311" max="2311" width="5.625" customWidth="1"/>
    <col min="2312" max="2312" width="10.875" customWidth="1"/>
    <col min="2317" max="2317" width="8.125" customWidth="1"/>
    <col min="2318" max="2318" width="5.625" customWidth="1"/>
    <col min="2323" max="2323" width="5.625" customWidth="1"/>
    <col min="2325" max="2325" width="11.375" customWidth="1"/>
    <col min="2332" max="2332" width="12.125" customWidth="1"/>
    <col min="2333" max="2333" width="13.5" customWidth="1"/>
    <col min="2340" max="2340" width="11.125" customWidth="1"/>
    <col min="2344" max="2344" width="9.5" bestFit="1" customWidth="1"/>
    <col min="2556" max="2556" width="10" customWidth="1"/>
    <col min="2557" max="2557" width="15.5" customWidth="1"/>
    <col min="2561" max="2561" width="12.5" customWidth="1"/>
    <col min="2563" max="2563" width="9.5" customWidth="1"/>
    <col min="2564" max="2566" width="11.125" customWidth="1"/>
    <col min="2567" max="2567" width="5.625" customWidth="1"/>
    <col min="2568" max="2568" width="10.875" customWidth="1"/>
    <col min="2573" max="2573" width="8.125" customWidth="1"/>
    <col min="2574" max="2574" width="5.625" customWidth="1"/>
    <col min="2579" max="2579" width="5.625" customWidth="1"/>
    <col min="2581" max="2581" width="11.375" customWidth="1"/>
    <col min="2588" max="2588" width="12.125" customWidth="1"/>
    <col min="2589" max="2589" width="13.5" customWidth="1"/>
    <col min="2596" max="2596" width="11.125" customWidth="1"/>
    <col min="2600" max="2600" width="9.5" bestFit="1" customWidth="1"/>
    <col min="2812" max="2812" width="10" customWidth="1"/>
    <col min="2813" max="2813" width="15.5" customWidth="1"/>
    <col min="2817" max="2817" width="12.5" customWidth="1"/>
    <col min="2819" max="2819" width="9.5" customWidth="1"/>
    <col min="2820" max="2822" width="11.125" customWidth="1"/>
    <col min="2823" max="2823" width="5.625" customWidth="1"/>
    <col min="2824" max="2824" width="10.875" customWidth="1"/>
    <col min="2829" max="2829" width="8.125" customWidth="1"/>
    <col min="2830" max="2830" width="5.625" customWidth="1"/>
    <col min="2835" max="2835" width="5.625" customWidth="1"/>
    <col min="2837" max="2837" width="11.375" customWidth="1"/>
    <col min="2844" max="2844" width="12.125" customWidth="1"/>
    <col min="2845" max="2845" width="13.5" customWidth="1"/>
    <col min="2852" max="2852" width="11.125" customWidth="1"/>
    <col min="2856" max="2856" width="9.5" bestFit="1" customWidth="1"/>
    <col min="3068" max="3068" width="10" customWidth="1"/>
    <col min="3069" max="3069" width="15.5" customWidth="1"/>
    <col min="3073" max="3073" width="12.5" customWidth="1"/>
    <col min="3075" max="3075" width="9.5" customWidth="1"/>
    <col min="3076" max="3078" width="11.125" customWidth="1"/>
    <col min="3079" max="3079" width="5.625" customWidth="1"/>
    <col min="3080" max="3080" width="10.875" customWidth="1"/>
    <col min="3085" max="3085" width="8.125" customWidth="1"/>
    <col min="3086" max="3086" width="5.625" customWidth="1"/>
    <col min="3091" max="3091" width="5.625" customWidth="1"/>
    <col min="3093" max="3093" width="11.375" customWidth="1"/>
    <col min="3100" max="3100" width="12.125" customWidth="1"/>
    <col min="3101" max="3101" width="13.5" customWidth="1"/>
    <col min="3108" max="3108" width="11.125" customWidth="1"/>
    <col min="3112" max="3112" width="9.5" bestFit="1" customWidth="1"/>
    <col min="3324" max="3324" width="10" customWidth="1"/>
    <col min="3325" max="3325" width="15.5" customWidth="1"/>
    <col min="3329" max="3329" width="12.5" customWidth="1"/>
    <col min="3331" max="3331" width="9.5" customWidth="1"/>
    <col min="3332" max="3334" width="11.125" customWidth="1"/>
    <col min="3335" max="3335" width="5.625" customWidth="1"/>
    <col min="3336" max="3336" width="10.875" customWidth="1"/>
    <col min="3341" max="3341" width="8.125" customWidth="1"/>
    <col min="3342" max="3342" width="5.625" customWidth="1"/>
    <col min="3347" max="3347" width="5.625" customWidth="1"/>
    <col min="3349" max="3349" width="11.375" customWidth="1"/>
    <col min="3356" max="3356" width="12.125" customWidth="1"/>
    <col min="3357" max="3357" width="13.5" customWidth="1"/>
    <col min="3364" max="3364" width="11.125" customWidth="1"/>
    <col min="3368" max="3368" width="9.5" bestFit="1" customWidth="1"/>
    <col min="3580" max="3580" width="10" customWidth="1"/>
    <col min="3581" max="3581" width="15.5" customWidth="1"/>
    <col min="3585" max="3585" width="12.5" customWidth="1"/>
    <col min="3587" max="3587" width="9.5" customWidth="1"/>
    <col min="3588" max="3590" width="11.125" customWidth="1"/>
    <col min="3591" max="3591" width="5.625" customWidth="1"/>
    <col min="3592" max="3592" width="10.875" customWidth="1"/>
    <col min="3597" max="3597" width="8.125" customWidth="1"/>
    <col min="3598" max="3598" width="5.625" customWidth="1"/>
    <col min="3603" max="3603" width="5.625" customWidth="1"/>
    <col min="3605" max="3605" width="11.375" customWidth="1"/>
    <col min="3612" max="3612" width="12.125" customWidth="1"/>
    <col min="3613" max="3613" width="13.5" customWidth="1"/>
    <col min="3620" max="3620" width="11.125" customWidth="1"/>
    <col min="3624" max="3624" width="9.5" bestFit="1" customWidth="1"/>
    <col min="3836" max="3836" width="10" customWidth="1"/>
    <col min="3837" max="3837" width="15.5" customWidth="1"/>
    <col min="3841" max="3841" width="12.5" customWidth="1"/>
    <col min="3843" max="3843" width="9.5" customWidth="1"/>
    <col min="3844" max="3846" width="11.125" customWidth="1"/>
    <col min="3847" max="3847" width="5.625" customWidth="1"/>
    <col min="3848" max="3848" width="10.875" customWidth="1"/>
    <col min="3853" max="3853" width="8.125" customWidth="1"/>
    <col min="3854" max="3854" width="5.625" customWidth="1"/>
    <col min="3859" max="3859" width="5.625" customWidth="1"/>
    <col min="3861" max="3861" width="11.375" customWidth="1"/>
    <col min="3868" max="3868" width="12.125" customWidth="1"/>
    <col min="3869" max="3869" width="13.5" customWidth="1"/>
    <col min="3876" max="3876" width="11.125" customWidth="1"/>
    <col min="3880" max="3880" width="9.5" bestFit="1" customWidth="1"/>
    <col min="4092" max="4092" width="10" customWidth="1"/>
    <col min="4093" max="4093" width="15.5" customWidth="1"/>
    <col min="4097" max="4097" width="12.5" customWidth="1"/>
    <col min="4099" max="4099" width="9.5" customWidth="1"/>
    <col min="4100" max="4102" width="11.125" customWidth="1"/>
    <col min="4103" max="4103" width="5.625" customWidth="1"/>
    <col min="4104" max="4104" width="10.875" customWidth="1"/>
    <col min="4109" max="4109" width="8.125" customWidth="1"/>
    <col min="4110" max="4110" width="5.625" customWidth="1"/>
    <col min="4115" max="4115" width="5.625" customWidth="1"/>
    <col min="4117" max="4117" width="11.375" customWidth="1"/>
    <col min="4124" max="4124" width="12.125" customWidth="1"/>
    <col min="4125" max="4125" width="13.5" customWidth="1"/>
    <col min="4132" max="4132" width="11.125" customWidth="1"/>
    <col min="4136" max="4136" width="9.5" bestFit="1" customWidth="1"/>
    <col min="4348" max="4348" width="10" customWidth="1"/>
    <col min="4349" max="4349" width="15.5" customWidth="1"/>
    <col min="4353" max="4353" width="12.5" customWidth="1"/>
    <col min="4355" max="4355" width="9.5" customWidth="1"/>
    <col min="4356" max="4358" width="11.125" customWidth="1"/>
    <col min="4359" max="4359" width="5.625" customWidth="1"/>
    <col min="4360" max="4360" width="10.875" customWidth="1"/>
    <col min="4365" max="4365" width="8.125" customWidth="1"/>
    <col min="4366" max="4366" width="5.625" customWidth="1"/>
    <col min="4371" max="4371" width="5.625" customWidth="1"/>
    <col min="4373" max="4373" width="11.375" customWidth="1"/>
    <col min="4380" max="4380" width="12.125" customWidth="1"/>
    <col min="4381" max="4381" width="13.5" customWidth="1"/>
    <col min="4388" max="4388" width="11.125" customWidth="1"/>
    <col min="4392" max="4392" width="9.5" bestFit="1" customWidth="1"/>
    <col min="4604" max="4604" width="10" customWidth="1"/>
    <col min="4605" max="4605" width="15.5" customWidth="1"/>
    <col min="4609" max="4609" width="12.5" customWidth="1"/>
    <col min="4611" max="4611" width="9.5" customWidth="1"/>
    <col min="4612" max="4614" width="11.125" customWidth="1"/>
    <col min="4615" max="4615" width="5.625" customWidth="1"/>
    <col min="4616" max="4616" width="10.875" customWidth="1"/>
    <col min="4621" max="4621" width="8.125" customWidth="1"/>
    <col min="4622" max="4622" width="5.625" customWidth="1"/>
    <col min="4627" max="4627" width="5.625" customWidth="1"/>
    <col min="4629" max="4629" width="11.375" customWidth="1"/>
    <col min="4636" max="4636" width="12.125" customWidth="1"/>
    <col min="4637" max="4637" width="13.5" customWidth="1"/>
    <col min="4644" max="4644" width="11.125" customWidth="1"/>
    <col min="4648" max="4648" width="9.5" bestFit="1" customWidth="1"/>
    <col min="4860" max="4860" width="10" customWidth="1"/>
    <col min="4861" max="4861" width="15.5" customWidth="1"/>
    <col min="4865" max="4865" width="12.5" customWidth="1"/>
    <col min="4867" max="4867" width="9.5" customWidth="1"/>
    <col min="4868" max="4870" width="11.125" customWidth="1"/>
    <col min="4871" max="4871" width="5.625" customWidth="1"/>
    <col min="4872" max="4872" width="10.875" customWidth="1"/>
    <col min="4877" max="4877" width="8.125" customWidth="1"/>
    <col min="4878" max="4878" width="5.625" customWidth="1"/>
    <col min="4883" max="4883" width="5.625" customWidth="1"/>
    <col min="4885" max="4885" width="11.375" customWidth="1"/>
    <col min="4892" max="4892" width="12.125" customWidth="1"/>
    <col min="4893" max="4893" width="13.5" customWidth="1"/>
    <col min="4900" max="4900" width="11.125" customWidth="1"/>
    <col min="4904" max="4904" width="9.5" bestFit="1" customWidth="1"/>
    <col min="5116" max="5116" width="10" customWidth="1"/>
    <col min="5117" max="5117" width="15.5" customWidth="1"/>
    <col min="5121" max="5121" width="12.5" customWidth="1"/>
    <col min="5123" max="5123" width="9.5" customWidth="1"/>
    <col min="5124" max="5126" width="11.125" customWidth="1"/>
    <col min="5127" max="5127" width="5.625" customWidth="1"/>
    <col min="5128" max="5128" width="10.875" customWidth="1"/>
    <col min="5133" max="5133" width="8.125" customWidth="1"/>
    <col min="5134" max="5134" width="5.625" customWidth="1"/>
    <col min="5139" max="5139" width="5.625" customWidth="1"/>
    <col min="5141" max="5141" width="11.375" customWidth="1"/>
    <col min="5148" max="5148" width="12.125" customWidth="1"/>
    <col min="5149" max="5149" width="13.5" customWidth="1"/>
    <col min="5156" max="5156" width="11.125" customWidth="1"/>
    <col min="5160" max="5160" width="9.5" bestFit="1" customWidth="1"/>
    <col min="5372" max="5372" width="10" customWidth="1"/>
    <col min="5373" max="5373" width="15.5" customWidth="1"/>
    <col min="5377" max="5377" width="12.5" customWidth="1"/>
    <col min="5379" max="5379" width="9.5" customWidth="1"/>
    <col min="5380" max="5382" width="11.125" customWidth="1"/>
    <col min="5383" max="5383" width="5.625" customWidth="1"/>
    <col min="5384" max="5384" width="10.875" customWidth="1"/>
    <col min="5389" max="5389" width="8.125" customWidth="1"/>
    <col min="5390" max="5390" width="5.625" customWidth="1"/>
    <col min="5395" max="5395" width="5.625" customWidth="1"/>
    <col min="5397" max="5397" width="11.375" customWidth="1"/>
    <col min="5404" max="5404" width="12.125" customWidth="1"/>
    <col min="5405" max="5405" width="13.5" customWidth="1"/>
    <col min="5412" max="5412" width="11.125" customWidth="1"/>
    <col min="5416" max="5416" width="9.5" bestFit="1" customWidth="1"/>
    <col min="5628" max="5628" width="10" customWidth="1"/>
    <col min="5629" max="5629" width="15.5" customWidth="1"/>
    <col min="5633" max="5633" width="12.5" customWidth="1"/>
    <col min="5635" max="5635" width="9.5" customWidth="1"/>
    <col min="5636" max="5638" width="11.125" customWidth="1"/>
    <col min="5639" max="5639" width="5.625" customWidth="1"/>
    <col min="5640" max="5640" width="10.875" customWidth="1"/>
    <col min="5645" max="5645" width="8.125" customWidth="1"/>
    <col min="5646" max="5646" width="5.625" customWidth="1"/>
    <col min="5651" max="5651" width="5.625" customWidth="1"/>
    <col min="5653" max="5653" width="11.375" customWidth="1"/>
    <col min="5660" max="5660" width="12.125" customWidth="1"/>
    <col min="5661" max="5661" width="13.5" customWidth="1"/>
    <col min="5668" max="5668" width="11.125" customWidth="1"/>
    <col min="5672" max="5672" width="9.5" bestFit="1" customWidth="1"/>
    <col min="5884" max="5884" width="10" customWidth="1"/>
    <col min="5885" max="5885" width="15.5" customWidth="1"/>
    <col min="5889" max="5889" width="12.5" customWidth="1"/>
    <col min="5891" max="5891" width="9.5" customWidth="1"/>
    <col min="5892" max="5894" width="11.125" customWidth="1"/>
    <col min="5895" max="5895" width="5.625" customWidth="1"/>
    <col min="5896" max="5896" width="10.875" customWidth="1"/>
    <col min="5901" max="5901" width="8.125" customWidth="1"/>
    <col min="5902" max="5902" width="5.625" customWidth="1"/>
    <col min="5907" max="5907" width="5.625" customWidth="1"/>
    <col min="5909" max="5909" width="11.375" customWidth="1"/>
    <col min="5916" max="5916" width="12.125" customWidth="1"/>
    <col min="5917" max="5917" width="13.5" customWidth="1"/>
    <col min="5924" max="5924" width="11.125" customWidth="1"/>
    <col min="5928" max="5928" width="9.5" bestFit="1" customWidth="1"/>
    <col min="6140" max="6140" width="10" customWidth="1"/>
    <col min="6141" max="6141" width="15.5" customWidth="1"/>
    <col min="6145" max="6145" width="12.5" customWidth="1"/>
    <col min="6147" max="6147" width="9.5" customWidth="1"/>
    <col min="6148" max="6150" width="11.125" customWidth="1"/>
    <col min="6151" max="6151" width="5.625" customWidth="1"/>
    <col min="6152" max="6152" width="10.875" customWidth="1"/>
    <col min="6157" max="6157" width="8.125" customWidth="1"/>
    <col min="6158" max="6158" width="5.625" customWidth="1"/>
    <col min="6163" max="6163" width="5.625" customWidth="1"/>
    <col min="6165" max="6165" width="11.375" customWidth="1"/>
    <col min="6172" max="6172" width="12.125" customWidth="1"/>
    <col min="6173" max="6173" width="13.5" customWidth="1"/>
    <col min="6180" max="6180" width="11.125" customWidth="1"/>
    <col min="6184" max="6184" width="9.5" bestFit="1" customWidth="1"/>
    <col min="6396" max="6396" width="10" customWidth="1"/>
    <col min="6397" max="6397" width="15.5" customWidth="1"/>
    <col min="6401" max="6401" width="12.5" customWidth="1"/>
    <col min="6403" max="6403" width="9.5" customWidth="1"/>
    <col min="6404" max="6406" width="11.125" customWidth="1"/>
    <col min="6407" max="6407" width="5.625" customWidth="1"/>
    <col min="6408" max="6408" width="10.875" customWidth="1"/>
    <col min="6413" max="6413" width="8.125" customWidth="1"/>
    <col min="6414" max="6414" width="5.625" customWidth="1"/>
    <col min="6419" max="6419" width="5.625" customWidth="1"/>
    <col min="6421" max="6421" width="11.375" customWidth="1"/>
    <col min="6428" max="6428" width="12.125" customWidth="1"/>
    <col min="6429" max="6429" width="13.5" customWidth="1"/>
    <col min="6436" max="6436" width="11.125" customWidth="1"/>
    <col min="6440" max="6440" width="9.5" bestFit="1" customWidth="1"/>
    <col min="6652" max="6652" width="10" customWidth="1"/>
    <col min="6653" max="6653" width="15.5" customWidth="1"/>
    <col min="6657" max="6657" width="12.5" customWidth="1"/>
    <col min="6659" max="6659" width="9.5" customWidth="1"/>
    <col min="6660" max="6662" width="11.125" customWidth="1"/>
    <col min="6663" max="6663" width="5.625" customWidth="1"/>
    <col min="6664" max="6664" width="10.875" customWidth="1"/>
    <col min="6669" max="6669" width="8.125" customWidth="1"/>
    <col min="6670" max="6670" width="5.625" customWidth="1"/>
    <col min="6675" max="6675" width="5.625" customWidth="1"/>
    <col min="6677" max="6677" width="11.375" customWidth="1"/>
    <col min="6684" max="6684" width="12.125" customWidth="1"/>
    <col min="6685" max="6685" width="13.5" customWidth="1"/>
    <col min="6692" max="6692" width="11.125" customWidth="1"/>
    <col min="6696" max="6696" width="9.5" bestFit="1" customWidth="1"/>
    <col min="6908" max="6908" width="10" customWidth="1"/>
    <col min="6909" max="6909" width="15.5" customWidth="1"/>
    <col min="6913" max="6913" width="12.5" customWidth="1"/>
    <col min="6915" max="6915" width="9.5" customWidth="1"/>
    <col min="6916" max="6918" width="11.125" customWidth="1"/>
    <col min="6919" max="6919" width="5.625" customWidth="1"/>
    <col min="6920" max="6920" width="10.875" customWidth="1"/>
    <col min="6925" max="6925" width="8.125" customWidth="1"/>
    <col min="6926" max="6926" width="5.625" customWidth="1"/>
    <col min="6931" max="6931" width="5.625" customWidth="1"/>
    <col min="6933" max="6933" width="11.375" customWidth="1"/>
    <col min="6940" max="6940" width="12.125" customWidth="1"/>
    <col min="6941" max="6941" width="13.5" customWidth="1"/>
    <col min="6948" max="6948" width="11.125" customWidth="1"/>
    <col min="6952" max="6952" width="9.5" bestFit="1" customWidth="1"/>
    <col min="7164" max="7164" width="10" customWidth="1"/>
    <col min="7165" max="7165" width="15.5" customWidth="1"/>
    <col min="7169" max="7169" width="12.5" customWidth="1"/>
    <col min="7171" max="7171" width="9.5" customWidth="1"/>
    <col min="7172" max="7174" width="11.125" customWidth="1"/>
    <col min="7175" max="7175" width="5.625" customWidth="1"/>
    <col min="7176" max="7176" width="10.875" customWidth="1"/>
    <col min="7181" max="7181" width="8.125" customWidth="1"/>
    <col min="7182" max="7182" width="5.625" customWidth="1"/>
    <col min="7187" max="7187" width="5.625" customWidth="1"/>
    <col min="7189" max="7189" width="11.375" customWidth="1"/>
    <col min="7196" max="7196" width="12.125" customWidth="1"/>
    <col min="7197" max="7197" width="13.5" customWidth="1"/>
    <col min="7204" max="7204" width="11.125" customWidth="1"/>
    <col min="7208" max="7208" width="9.5" bestFit="1" customWidth="1"/>
    <col min="7420" max="7420" width="10" customWidth="1"/>
    <col min="7421" max="7421" width="15.5" customWidth="1"/>
    <col min="7425" max="7425" width="12.5" customWidth="1"/>
    <col min="7427" max="7427" width="9.5" customWidth="1"/>
    <col min="7428" max="7430" width="11.125" customWidth="1"/>
    <col min="7431" max="7431" width="5.625" customWidth="1"/>
    <col min="7432" max="7432" width="10.875" customWidth="1"/>
    <col min="7437" max="7437" width="8.125" customWidth="1"/>
    <col min="7438" max="7438" width="5.625" customWidth="1"/>
    <col min="7443" max="7443" width="5.625" customWidth="1"/>
    <col min="7445" max="7445" width="11.375" customWidth="1"/>
    <col min="7452" max="7452" width="12.125" customWidth="1"/>
    <col min="7453" max="7453" width="13.5" customWidth="1"/>
    <col min="7460" max="7460" width="11.125" customWidth="1"/>
    <col min="7464" max="7464" width="9.5" bestFit="1" customWidth="1"/>
    <col min="7676" max="7676" width="10" customWidth="1"/>
    <col min="7677" max="7677" width="15.5" customWidth="1"/>
    <col min="7681" max="7681" width="12.5" customWidth="1"/>
    <col min="7683" max="7683" width="9.5" customWidth="1"/>
    <col min="7684" max="7686" width="11.125" customWidth="1"/>
    <col min="7687" max="7687" width="5.625" customWidth="1"/>
    <col min="7688" max="7688" width="10.875" customWidth="1"/>
    <col min="7693" max="7693" width="8.125" customWidth="1"/>
    <col min="7694" max="7694" width="5.625" customWidth="1"/>
    <col min="7699" max="7699" width="5.625" customWidth="1"/>
    <col min="7701" max="7701" width="11.375" customWidth="1"/>
    <col min="7708" max="7708" width="12.125" customWidth="1"/>
    <col min="7709" max="7709" width="13.5" customWidth="1"/>
    <col min="7716" max="7716" width="11.125" customWidth="1"/>
    <col min="7720" max="7720" width="9.5" bestFit="1" customWidth="1"/>
    <col min="7932" max="7932" width="10" customWidth="1"/>
    <col min="7933" max="7933" width="15.5" customWidth="1"/>
    <col min="7937" max="7937" width="12.5" customWidth="1"/>
    <col min="7939" max="7939" width="9.5" customWidth="1"/>
    <col min="7940" max="7942" width="11.125" customWidth="1"/>
    <col min="7943" max="7943" width="5.625" customWidth="1"/>
    <col min="7944" max="7944" width="10.875" customWidth="1"/>
    <col min="7949" max="7949" width="8.125" customWidth="1"/>
    <col min="7950" max="7950" width="5.625" customWidth="1"/>
    <col min="7955" max="7955" width="5.625" customWidth="1"/>
    <col min="7957" max="7957" width="11.375" customWidth="1"/>
    <col min="7964" max="7964" width="12.125" customWidth="1"/>
    <col min="7965" max="7965" width="13.5" customWidth="1"/>
    <col min="7972" max="7972" width="11.125" customWidth="1"/>
    <col min="7976" max="7976" width="9.5" bestFit="1" customWidth="1"/>
    <col min="8188" max="8188" width="10" customWidth="1"/>
    <col min="8189" max="8189" width="15.5" customWidth="1"/>
    <col min="8193" max="8193" width="12.5" customWidth="1"/>
    <col min="8195" max="8195" width="9.5" customWidth="1"/>
    <col min="8196" max="8198" width="11.125" customWidth="1"/>
    <col min="8199" max="8199" width="5.625" customWidth="1"/>
    <col min="8200" max="8200" width="10.875" customWidth="1"/>
    <col min="8205" max="8205" width="8.125" customWidth="1"/>
    <col min="8206" max="8206" width="5.625" customWidth="1"/>
    <col min="8211" max="8211" width="5.625" customWidth="1"/>
    <col min="8213" max="8213" width="11.375" customWidth="1"/>
    <col min="8220" max="8220" width="12.125" customWidth="1"/>
    <col min="8221" max="8221" width="13.5" customWidth="1"/>
    <col min="8228" max="8228" width="11.125" customWidth="1"/>
    <col min="8232" max="8232" width="9.5" bestFit="1" customWidth="1"/>
    <col min="8444" max="8444" width="10" customWidth="1"/>
    <col min="8445" max="8445" width="15.5" customWidth="1"/>
    <col min="8449" max="8449" width="12.5" customWidth="1"/>
    <col min="8451" max="8451" width="9.5" customWidth="1"/>
    <col min="8452" max="8454" width="11.125" customWidth="1"/>
    <col min="8455" max="8455" width="5.625" customWidth="1"/>
    <col min="8456" max="8456" width="10.875" customWidth="1"/>
    <col min="8461" max="8461" width="8.125" customWidth="1"/>
    <col min="8462" max="8462" width="5.625" customWidth="1"/>
    <col min="8467" max="8467" width="5.625" customWidth="1"/>
    <col min="8469" max="8469" width="11.375" customWidth="1"/>
    <col min="8476" max="8476" width="12.125" customWidth="1"/>
    <col min="8477" max="8477" width="13.5" customWidth="1"/>
    <col min="8484" max="8484" width="11.125" customWidth="1"/>
    <col min="8488" max="8488" width="9.5" bestFit="1" customWidth="1"/>
    <col min="8700" max="8700" width="10" customWidth="1"/>
    <col min="8701" max="8701" width="15.5" customWidth="1"/>
    <col min="8705" max="8705" width="12.5" customWidth="1"/>
    <col min="8707" max="8707" width="9.5" customWidth="1"/>
    <col min="8708" max="8710" width="11.125" customWidth="1"/>
    <col min="8711" max="8711" width="5.625" customWidth="1"/>
    <col min="8712" max="8712" width="10.875" customWidth="1"/>
    <col min="8717" max="8717" width="8.125" customWidth="1"/>
    <col min="8718" max="8718" width="5.625" customWidth="1"/>
    <col min="8723" max="8723" width="5.625" customWidth="1"/>
    <col min="8725" max="8725" width="11.375" customWidth="1"/>
    <col min="8732" max="8732" width="12.125" customWidth="1"/>
    <col min="8733" max="8733" width="13.5" customWidth="1"/>
    <col min="8740" max="8740" width="11.125" customWidth="1"/>
    <col min="8744" max="8744" width="9.5" bestFit="1" customWidth="1"/>
    <col min="8956" max="8956" width="10" customWidth="1"/>
    <col min="8957" max="8957" width="15.5" customWidth="1"/>
    <col min="8961" max="8961" width="12.5" customWidth="1"/>
    <col min="8963" max="8963" width="9.5" customWidth="1"/>
    <col min="8964" max="8966" width="11.125" customWidth="1"/>
    <col min="8967" max="8967" width="5.625" customWidth="1"/>
    <col min="8968" max="8968" width="10.875" customWidth="1"/>
    <col min="8973" max="8973" width="8.125" customWidth="1"/>
    <col min="8974" max="8974" width="5.625" customWidth="1"/>
    <col min="8979" max="8979" width="5.625" customWidth="1"/>
    <col min="8981" max="8981" width="11.375" customWidth="1"/>
    <col min="8988" max="8988" width="12.125" customWidth="1"/>
    <col min="8989" max="8989" width="13.5" customWidth="1"/>
    <col min="8996" max="8996" width="11.125" customWidth="1"/>
    <col min="9000" max="9000" width="9.5" bestFit="1" customWidth="1"/>
    <col min="9212" max="9212" width="10" customWidth="1"/>
    <col min="9213" max="9213" width="15.5" customWidth="1"/>
    <col min="9217" max="9217" width="12.5" customWidth="1"/>
    <col min="9219" max="9219" width="9.5" customWidth="1"/>
    <col min="9220" max="9222" width="11.125" customWidth="1"/>
    <col min="9223" max="9223" width="5.625" customWidth="1"/>
    <col min="9224" max="9224" width="10.875" customWidth="1"/>
    <col min="9229" max="9229" width="8.125" customWidth="1"/>
    <col min="9230" max="9230" width="5.625" customWidth="1"/>
    <col min="9235" max="9235" width="5.625" customWidth="1"/>
    <col min="9237" max="9237" width="11.375" customWidth="1"/>
    <col min="9244" max="9244" width="12.125" customWidth="1"/>
    <col min="9245" max="9245" width="13.5" customWidth="1"/>
    <col min="9252" max="9252" width="11.125" customWidth="1"/>
    <col min="9256" max="9256" width="9.5" bestFit="1" customWidth="1"/>
    <col min="9468" max="9468" width="10" customWidth="1"/>
    <col min="9469" max="9469" width="15.5" customWidth="1"/>
    <col min="9473" max="9473" width="12.5" customWidth="1"/>
    <col min="9475" max="9475" width="9.5" customWidth="1"/>
    <col min="9476" max="9478" width="11.125" customWidth="1"/>
    <col min="9479" max="9479" width="5.625" customWidth="1"/>
    <col min="9480" max="9480" width="10.875" customWidth="1"/>
    <col min="9485" max="9485" width="8.125" customWidth="1"/>
    <col min="9486" max="9486" width="5.625" customWidth="1"/>
    <col min="9491" max="9491" width="5.625" customWidth="1"/>
    <col min="9493" max="9493" width="11.375" customWidth="1"/>
    <col min="9500" max="9500" width="12.125" customWidth="1"/>
    <col min="9501" max="9501" width="13.5" customWidth="1"/>
    <col min="9508" max="9508" width="11.125" customWidth="1"/>
    <col min="9512" max="9512" width="9.5" bestFit="1" customWidth="1"/>
    <col min="9724" max="9724" width="10" customWidth="1"/>
    <col min="9725" max="9725" width="15.5" customWidth="1"/>
    <col min="9729" max="9729" width="12.5" customWidth="1"/>
    <col min="9731" max="9731" width="9.5" customWidth="1"/>
    <col min="9732" max="9734" width="11.125" customWidth="1"/>
    <col min="9735" max="9735" width="5.625" customWidth="1"/>
    <col min="9736" max="9736" width="10.875" customWidth="1"/>
    <col min="9741" max="9741" width="8.125" customWidth="1"/>
    <col min="9742" max="9742" width="5.625" customWidth="1"/>
    <col min="9747" max="9747" width="5.625" customWidth="1"/>
    <col min="9749" max="9749" width="11.375" customWidth="1"/>
    <col min="9756" max="9756" width="12.125" customWidth="1"/>
    <col min="9757" max="9757" width="13.5" customWidth="1"/>
    <col min="9764" max="9764" width="11.125" customWidth="1"/>
    <col min="9768" max="9768" width="9.5" bestFit="1" customWidth="1"/>
    <col min="9980" max="9980" width="10" customWidth="1"/>
    <col min="9981" max="9981" width="15.5" customWidth="1"/>
    <col min="9985" max="9985" width="12.5" customWidth="1"/>
    <col min="9987" max="9987" width="9.5" customWidth="1"/>
    <col min="9988" max="9990" width="11.125" customWidth="1"/>
    <col min="9991" max="9991" width="5.625" customWidth="1"/>
    <col min="9992" max="9992" width="10.875" customWidth="1"/>
    <col min="9997" max="9997" width="8.125" customWidth="1"/>
    <col min="9998" max="9998" width="5.625" customWidth="1"/>
    <col min="10003" max="10003" width="5.625" customWidth="1"/>
    <col min="10005" max="10005" width="11.375" customWidth="1"/>
    <col min="10012" max="10012" width="12.125" customWidth="1"/>
    <col min="10013" max="10013" width="13.5" customWidth="1"/>
    <col min="10020" max="10020" width="11.125" customWidth="1"/>
    <col min="10024" max="10024" width="9.5" bestFit="1" customWidth="1"/>
    <col min="10236" max="10236" width="10" customWidth="1"/>
    <col min="10237" max="10237" width="15.5" customWidth="1"/>
    <col min="10241" max="10241" width="12.5" customWidth="1"/>
    <col min="10243" max="10243" width="9.5" customWidth="1"/>
    <col min="10244" max="10246" width="11.125" customWidth="1"/>
    <col min="10247" max="10247" width="5.625" customWidth="1"/>
    <col min="10248" max="10248" width="10.875" customWidth="1"/>
    <col min="10253" max="10253" width="8.125" customWidth="1"/>
    <col min="10254" max="10254" width="5.625" customWidth="1"/>
    <col min="10259" max="10259" width="5.625" customWidth="1"/>
    <col min="10261" max="10261" width="11.375" customWidth="1"/>
    <col min="10268" max="10268" width="12.125" customWidth="1"/>
    <col min="10269" max="10269" width="13.5" customWidth="1"/>
    <col min="10276" max="10276" width="11.125" customWidth="1"/>
    <col min="10280" max="10280" width="9.5" bestFit="1" customWidth="1"/>
    <col min="10492" max="10492" width="10" customWidth="1"/>
    <col min="10493" max="10493" width="15.5" customWidth="1"/>
    <col min="10497" max="10497" width="12.5" customWidth="1"/>
    <col min="10499" max="10499" width="9.5" customWidth="1"/>
    <col min="10500" max="10502" width="11.125" customWidth="1"/>
    <col min="10503" max="10503" width="5.625" customWidth="1"/>
    <col min="10504" max="10504" width="10.875" customWidth="1"/>
    <col min="10509" max="10509" width="8.125" customWidth="1"/>
    <col min="10510" max="10510" width="5.625" customWidth="1"/>
    <col min="10515" max="10515" width="5.625" customWidth="1"/>
    <col min="10517" max="10517" width="11.375" customWidth="1"/>
    <col min="10524" max="10524" width="12.125" customWidth="1"/>
    <col min="10525" max="10525" width="13.5" customWidth="1"/>
    <col min="10532" max="10532" width="11.125" customWidth="1"/>
    <col min="10536" max="10536" width="9.5" bestFit="1" customWidth="1"/>
    <col min="10748" max="10748" width="10" customWidth="1"/>
    <col min="10749" max="10749" width="15.5" customWidth="1"/>
    <col min="10753" max="10753" width="12.5" customWidth="1"/>
    <col min="10755" max="10755" width="9.5" customWidth="1"/>
    <col min="10756" max="10758" width="11.125" customWidth="1"/>
    <col min="10759" max="10759" width="5.625" customWidth="1"/>
    <col min="10760" max="10760" width="10.875" customWidth="1"/>
    <col min="10765" max="10765" width="8.125" customWidth="1"/>
    <col min="10766" max="10766" width="5.625" customWidth="1"/>
    <col min="10771" max="10771" width="5.625" customWidth="1"/>
    <col min="10773" max="10773" width="11.375" customWidth="1"/>
    <col min="10780" max="10780" width="12.125" customWidth="1"/>
    <col min="10781" max="10781" width="13.5" customWidth="1"/>
    <col min="10788" max="10788" width="11.125" customWidth="1"/>
    <col min="10792" max="10792" width="9.5" bestFit="1" customWidth="1"/>
    <col min="11004" max="11004" width="10" customWidth="1"/>
    <col min="11005" max="11005" width="15.5" customWidth="1"/>
    <col min="11009" max="11009" width="12.5" customWidth="1"/>
    <col min="11011" max="11011" width="9.5" customWidth="1"/>
    <col min="11012" max="11014" width="11.125" customWidth="1"/>
    <col min="11015" max="11015" width="5.625" customWidth="1"/>
    <col min="11016" max="11016" width="10.875" customWidth="1"/>
    <col min="11021" max="11021" width="8.125" customWidth="1"/>
    <col min="11022" max="11022" width="5.625" customWidth="1"/>
    <col min="11027" max="11027" width="5.625" customWidth="1"/>
    <col min="11029" max="11029" width="11.375" customWidth="1"/>
    <col min="11036" max="11036" width="12.125" customWidth="1"/>
    <col min="11037" max="11037" width="13.5" customWidth="1"/>
    <col min="11044" max="11044" width="11.125" customWidth="1"/>
    <col min="11048" max="11048" width="9.5" bestFit="1" customWidth="1"/>
    <col min="11260" max="11260" width="10" customWidth="1"/>
    <col min="11261" max="11261" width="15.5" customWidth="1"/>
    <col min="11265" max="11265" width="12.5" customWidth="1"/>
    <col min="11267" max="11267" width="9.5" customWidth="1"/>
    <col min="11268" max="11270" width="11.125" customWidth="1"/>
    <col min="11271" max="11271" width="5.625" customWidth="1"/>
    <col min="11272" max="11272" width="10.875" customWidth="1"/>
    <col min="11277" max="11277" width="8.125" customWidth="1"/>
    <col min="11278" max="11278" width="5.625" customWidth="1"/>
    <col min="11283" max="11283" width="5.625" customWidth="1"/>
    <col min="11285" max="11285" width="11.375" customWidth="1"/>
    <col min="11292" max="11292" width="12.125" customWidth="1"/>
    <col min="11293" max="11293" width="13.5" customWidth="1"/>
    <col min="11300" max="11300" width="11.125" customWidth="1"/>
    <col min="11304" max="11304" width="9.5" bestFit="1" customWidth="1"/>
    <col min="11516" max="11516" width="10" customWidth="1"/>
    <col min="11517" max="11517" width="15.5" customWidth="1"/>
    <col min="11521" max="11521" width="12.5" customWidth="1"/>
    <col min="11523" max="11523" width="9.5" customWidth="1"/>
    <col min="11524" max="11526" width="11.125" customWidth="1"/>
    <col min="11527" max="11527" width="5.625" customWidth="1"/>
    <col min="11528" max="11528" width="10.875" customWidth="1"/>
    <col min="11533" max="11533" width="8.125" customWidth="1"/>
    <col min="11534" max="11534" width="5.625" customWidth="1"/>
    <col min="11539" max="11539" width="5.625" customWidth="1"/>
    <col min="11541" max="11541" width="11.375" customWidth="1"/>
    <col min="11548" max="11548" width="12.125" customWidth="1"/>
    <col min="11549" max="11549" width="13.5" customWidth="1"/>
    <col min="11556" max="11556" width="11.125" customWidth="1"/>
    <col min="11560" max="11560" width="9.5" bestFit="1" customWidth="1"/>
    <col min="11772" max="11772" width="10" customWidth="1"/>
    <col min="11773" max="11773" width="15.5" customWidth="1"/>
    <col min="11777" max="11777" width="12.5" customWidth="1"/>
    <col min="11779" max="11779" width="9.5" customWidth="1"/>
    <col min="11780" max="11782" width="11.125" customWidth="1"/>
    <col min="11783" max="11783" width="5.625" customWidth="1"/>
    <col min="11784" max="11784" width="10.875" customWidth="1"/>
    <col min="11789" max="11789" width="8.125" customWidth="1"/>
    <col min="11790" max="11790" width="5.625" customWidth="1"/>
    <col min="11795" max="11795" width="5.625" customWidth="1"/>
    <col min="11797" max="11797" width="11.375" customWidth="1"/>
    <col min="11804" max="11804" width="12.125" customWidth="1"/>
    <col min="11805" max="11805" width="13.5" customWidth="1"/>
    <col min="11812" max="11812" width="11.125" customWidth="1"/>
    <col min="11816" max="11816" width="9.5" bestFit="1" customWidth="1"/>
    <col min="12028" max="12028" width="10" customWidth="1"/>
    <col min="12029" max="12029" width="15.5" customWidth="1"/>
    <col min="12033" max="12033" width="12.5" customWidth="1"/>
    <col min="12035" max="12035" width="9.5" customWidth="1"/>
    <col min="12036" max="12038" width="11.125" customWidth="1"/>
    <col min="12039" max="12039" width="5.625" customWidth="1"/>
    <col min="12040" max="12040" width="10.875" customWidth="1"/>
    <col min="12045" max="12045" width="8.125" customWidth="1"/>
    <col min="12046" max="12046" width="5.625" customWidth="1"/>
    <col min="12051" max="12051" width="5.625" customWidth="1"/>
    <col min="12053" max="12053" width="11.375" customWidth="1"/>
    <col min="12060" max="12060" width="12.125" customWidth="1"/>
    <col min="12061" max="12061" width="13.5" customWidth="1"/>
    <col min="12068" max="12068" width="11.125" customWidth="1"/>
    <col min="12072" max="12072" width="9.5" bestFit="1" customWidth="1"/>
    <col min="12284" max="12284" width="10" customWidth="1"/>
    <col min="12285" max="12285" width="15.5" customWidth="1"/>
    <col min="12289" max="12289" width="12.5" customWidth="1"/>
    <col min="12291" max="12291" width="9.5" customWidth="1"/>
    <col min="12292" max="12294" width="11.125" customWidth="1"/>
    <col min="12295" max="12295" width="5.625" customWidth="1"/>
    <col min="12296" max="12296" width="10.875" customWidth="1"/>
    <col min="12301" max="12301" width="8.125" customWidth="1"/>
    <col min="12302" max="12302" width="5.625" customWidth="1"/>
    <col min="12307" max="12307" width="5.625" customWidth="1"/>
    <col min="12309" max="12309" width="11.375" customWidth="1"/>
    <col min="12316" max="12316" width="12.125" customWidth="1"/>
    <col min="12317" max="12317" width="13.5" customWidth="1"/>
    <col min="12324" max="12324" width="11.125" customWidth="1"/>
    <col min="12328" max="12328" width="9.5" bestFit="1" customWidth="1"/>
    <col min="12540" max="12540" width="10" customWidth="1"/>
    <col min="12541" max="12541" width="15.5" customWidth="1"/>
    <col min="12545" max="12545" width="12.5" customWidth="1"/>
    <col min="12547" max="12547" width="9.5" customWidth="1"/>
    <col min="12548" max="12550" width="11.125" customWidth="1"/>
    <col min="12551" max="12551" width="5.625" customWidth="1"/>
    <col min="12552" max="12552" width="10.875" customWidth="1"/>
    <col min="12557" max="12557" width="8.125" customWidth="1"/>
    <col min="12558" max="12558" width="5.625" customWidth="1"/>
    <col min="12563" max="12563" width="5.625" customWidth="1"/>
    <col min="12565" max="12565" width="11.375" customWidth="1"/>
    <col min="12572" max="12572" width="12.125" customWidth="1"/>
    <col min="12573" max="12573" width="13.5" customWidth="1"/>
    <col min="12580" max="12580" width="11.125" customWidth="1"/>
    <col min="12584" max="12584" width="9.5" bestFit="1" customWidth="1"/>
    <col min="12796" max="12796" width="10" customWidth="1"/>
    <col min="12797" max="12797" width="15.5" customWidth="1"/>
    <col min="12801" max="12801" width="12.5" customWidth="1"/>
    <col min="12803" max="12803" width="9.5" customWidth="1"/>
    <col min="12804" max="12806" width="11.125" customWidth="1"/>
    <col min="12807" max="12807" width="5.625" customWidth="1"/>
    <col min="12808" max="12808" width="10.875" customWidth="1"/>
    <col min="12813" max="12813" width="8.125" customWidth="1"/>
    <col min="12814" max="12814" width="5.625" customWidth="1"/>
    <col min="12819" max="12819" width="5.625" customWidth="1"/>
    <col min="12821" max="12821" width="11.375" customWidth="1"/>
    <col min="12828" max="12828" width="12.125" customWidth="1"/>
    <col min="12829" max="12829" width="13.5" customWidth="1"/>
    <col min="12836" max="12836" width="11.125" customWidth="1"/>
    <col min="12840" max="12840" width="9.5" bestFit="1" customWidth="1"/>
    <col min="13052" max="13052" width="10" customWidth="1"/>
    <col min="13053" max="13053" width="15.5" customWidth="1"/>
    <col min="13057" max="13057" width="12.5" customWidth="1"/>
    <col min="13059" max="13059" width="9.5" customWidth="1"/>
    <col min="13060" max="13062" width="11.125" customWidth="1"/>
    <col min="13063" max="13063" width="5.625" customWidth="1"/>
    <col min="13064" max="13064" width="10.875" customWidth="1"/>
    <col min="13069" max="13069" width="8.125" customWidth="1"/>
    <col min="13070" max="13070" width="5.625" customWidth="1"/>
    <col min="13075" max="13075" width="5.625" customWidth="1"/>
    <col min="13077" max="13077" width="11.375" customWidth="1"/>
    <col min="13084" max="13084" width="12.125" customWidth="1"/>
    <col min="13085" max="13085" width="13.5" customWidth="1"/>
    <col min="13092" max="13092" width="11.125" customWidth="1"/>
    <col min="13096" max="13096" width="9.5" bestFit="1" customWidth="1"/>
    <col min="13308" max="13308" width="10" customWidth="1"/>
    <col min="13309" max="13309" width="15.5" customWidth="1"/>
    <col min="13313" max="13313" width="12.5" customWidth="1"/>
    <col min="13315" max="13315" width="9.5" customWidth="1"/>
    <col min="13316" max="13318" width="11.125" customWidth="1"/>
    <col min="13319" max="13319" width="5.625" customWidth="1"/>
    <col min="13320" max="13320" width="10.875" customWidth="1"/>
    <col min="13325" max="13325" width="8.125" customWidth="1"/>
    <col min="13326" max="13326" width="5.625" customWidth="1"/>
    <col min="13331" max="13331" width="5.625" customWidth="1"/>
    <col min="13333" max="13333" width="11.375" customWidth="1"/>
    <col min="13340" max="13340" width="12.125" customWidth="1"/>
    <col min="13341" max="13341" width="13.5" customWidth="1"/>
    <col min="13348" max="13348" width="11.125" customWidth="1"/>
    <col min="13352" max="13352" width="9.5" bestFit="1" customWidth="1"/>
    <col min="13564" max="13564" width="10" customWidth="1"/>
    <col min="13565" max="13565" width="15.5" customWidth="1"/>
    <col min="13569" max="13569" width="12.5" customWidth="1"/>
    <col min="13571" max="13571" width="9.5" customWidth="1"/>
    <col min="13572" max="13574" width="11.125" customWidth="1"/>
    <col min="13575" max="13575" width="5.625" customWidth="1"/>
    <col min="13576" max="13576" width="10.875" customWidth="1"/>
    <col min="13581" max="13581" width="8.125" customWidth="1"/>
    <col min="13582" max="13582" width="5.625" customWidth="1"/>
    <col min="13587" max="13587" width="5.625" customWidth="1"/>
    <col min="13589" max="13589" width="11.375" customWidth="1"/>
    <col min="13596" max="13596" width="12.125" customWidth="1"/>
    <col min="13597" max="13597" width="13.5" customWidth="1"/>
    <col min="13604" max="13604" width="11.125" customWidth="1"/>
    <col min="13608" max="13608" width="9.5" bestFit="1" customWidth="1"/>
    <col min="13820" max="13820" width="10" customWidth="1"/>
    <col min="13821" max="13821" width="15.5" customWidth="1"/>
    <col min="13825" max="13825" width="12.5" customWidth="1"/>
    <col min="13827" max="13827" width="9.5" customWidth="1"/>
    <col min="13828" max="13830" width="11.125" customWidth="1"/>
    <col min="13831" max="13831" width="5.625" customWidth="1"/>
    <col min="13832" max="13832" width="10.875" customWidth="1"/>
    <col min="13837" max="13837" width="8.125" customWidth="1"/>
    <col min="13838" max="13838" width="5.625" customWidth="1"/>
    <col min="13843" max="13843" width="5.625" customWidth="1"/>
    <col min="13845" max="13845" width="11.375" customWidth="1"/>
    <col min="13852" max="13852" width="12.125" customWidth="1"/>
    <col min="13853" max="13853" width="13.5" customWidth="1"/>
    <col min="13860" max="13860" width="11.125" customWidth="1"/>
    <col min="13864" max="13864" width="9.5" bestFit="1" customWidth="1"/>
    <col min="14076" max="14076" width="10" customWidth="1"/>
    <col min="14077" max="14077" width="15.5" customWidth="1"/>
    <col min="14081" max="14081" width="12.5" customWidth="1"/>
    <col min="14083" max="14083" width="9.5" customWidth="1"/>
    <col min="14084" max="14086" width="11.125" customWidth="1"/>
    <col min="14087" max="14087" width="5.625" customWidth="1"/>
    <col min="14088" max="14088" width="10.875" customWidth="1"/>
    <col min="14093" max="14093" width="8.125" customWidth="1"/>
    <col min="14094" max="14094" width="5.625" customWidth="1"/>
    <col min="14099" max="14099" width="5.625" customWidth="1"/>
    <col min="14101" max="14101" width="11.375" customWidth="1"/>
    <col min="14108" max="14108" width="12.125" customWidth="1"/>
    <col min="14109" max="14109" width="13.5" customWidth="1"/>
    <col min="14116" max="14116" width="11.125" customWidth="1"/>
    <col min="14120" max="14120" width="9.5" bestFit="1" customWidth="1"/>
    <col min="14332" max="14332" width="10" customWidth="1"/>
    <col min="14333" max="14333" width="15.5" customWidth="1"/>
    <col min="14337" max="14337" width="12.5" customWidth="1"/>
    <col min="14339" max="14339" width="9.5" customWidth="1"/>
    <col min="14340" max="14342" width="11.125" customWidth="1"/>
    <col min="14343" max="14343" width="5.625" customWidth="1"/>
    <col min="14344" max="14344" width="10.875" customWidth="1"/>
    <col min="14349" max="14349" width="8.125" customWidth="1"/>
    <col min="14350" max="14350" width="5.625" customWidth="1"/>
    <col min="14355" max="14355" width="5.625" customWidth="1"/>
    <col min="14357" max="14357" width="11.375" customWidth="1"/>
    <col min="14364" max="14364" width="12.125" customWidth="1"/>
    <col min="14365" max="14365" width="13.5" customWidth="1"/>
    <col min="14372" max="14372" width="11.125" customWidth="1"/>
    <col min="14376" max="14376" width="9.5" bestFit="1" customWidth="1"/>
    <col min="14588" max="14588" width="10" customWidth="1"/>
    <col min="14589" max="14589" width="15.5" customWidth="1"/>
    <col min="14593" max="14593" width="12.5" customWidth="1"/>
    <col min="14595" max="14595" width="9.5" customWidth="1"/>
    <col min="14596" max="14598" width="11.125" customWidth="1"/>
    <col min="14599" max="14599" width="5.625" customWidth="1"/>
    <col min="14600" max="14600" width="10.875" customWidth="1"/>
    <col min="14605" max="14605" width="8.125" customWidth="1"/>
    <col min="14606" max="14606" width="5.625" customWidth="1"/>
    <col min="14611" max="14611" width="5.625" customWidth="1"/>
    <col min="14613" max="14613" width="11.375" customWidth="1"/>
    <col min="14620" max="14620" width="12.125" customWidth="1"/>
    <col min="14621" max="14621" width="13.5" customWidth="1"/>
    <col min="14628" max="14628" width="11.125" customWidth="1"/>
    <col min="14632" max="14632" width="9.5" bestFit="1" customWidth="1"/>
    <col min="14844" max="14844" width="10" customWidth="1"/>
    <col min="14845" max="14845" width="15.5" customWidth="1"/>
    <col min="14849" max="14849" width="12.5" customWidth="1"/>
    <col min="14851" max="14851" width="9.5" customWidth="1"/>
    <col min="14852" max="14854" width="11.125" customWidth="1"/>
    <col min="14855" max="14855" width="5.625" customWidth="1"/>
    <col min="14856" max="14856" width="10.875" customWidth="1"/>
    <col min="14861" max="14861" width="8.125" customWidth="1"/>
    <col min="14862" max="14862" width="5.625" customWidth="1"/>
    <col min="14867" max="14867" width="5.625" customWidth="1"/>
    <col min="14869" max="14869" width="11.375" customWidth="1"/>
    <col min="14876" max="14876" width="12.125" customWidth="1"/>
    <col min="14877" max="14877" width="13.5" customWidth="1"/>
    <col min="14884" max="14884" width="11.125" customWidth="1"/>
    <col min="14888" max="14888" width="9.5" bestFit="1" customWidth="1"/>
    <col min="15100" max="15100" width="10" customWidth="1"/>
    <col min="15101" max="15101" width="15.5" customWidth="1"/>
    <col min="15105" max="15105" width="12.5" customWidth="1"/>
    <col min="15107" max="15107" width="9.5" customWidth="1"/>
    <col min="15108" max="15110" width="11.125" customWidth="1"/>
    <col min="15111" max="15111" width="5.625" customWidth="1"/>
    <col min="15112" max="15112" width="10.875" customWidth="1"/>
    <col min="15117" max="15117" width="8.125" customWidth="1"/>
    <col min="15118" max="15118" width="5.625" customWidth="1"/>
    <col min="15123" max="15123" width="5.625" customWidth="1"/>
    <col min="15125" max="15125" width="11.375" customWidth="1"/>
    <col min="15132" max="15132" width="12.125" customWidth="1"/>
    <col min="15133" max="15133" width="13.5" customWidth="1"/>
    <col min="15140" max="15140" width="11.125" customWidth="1"/>
    <col min="15144" max="15144" width="9.5" bestFit="1" customWidth="1"/>
    <col min="15356" max="15356" width="10" customWidth="1"/>
    <col min="15357" max="15357" width="15.5" customWidth="1"/>
    <col min="15361" max="15361" width="12.5" customWidth="1"/>
    <col min="15363" max="15363" width="9.5" customWidth="1"/>
    <col min="15364" max="15366" width="11.125" customWidth="1"/>
    <col min="15367" max="15367" width="5.625" customWidth="1"/>
    <col min="15368" max="15368" width="10.875" customWidth="1"/>
    <col min="15373" max="15373" width="8.125" customWidth="1"/>
    <col min="15374" max="15374" width="5.625" customWidth="1"/>
    <col min="15379" max="15379" width="5.625" customWidth="1"/>
    <col min="15381" max="15381" width="11.375" customWidth="1"/>
    <col min="15388" max="15388" width="12.125" customWidth="1"/>
    <col min="15389" max="15389" width="13.5" customWidth="1"/>
    <col min="15396" max="15396" width="11.125" customWidth="1"/>
    <col min="15400" max="15400" width="9.5" bestFit="1" customWidth="1"/>
    <col min="15612" max="15612" width="10" customWidth="1"/>
    <col min="15613" max="15613" width="15.5" customWidth="1"/>
    <col min="15617" max="15617" width="12.5" customWidth="1"/>
    <col min="15619" max="15619" width="9.5" customWidth="1"/>
    <col min="15620" max="15622" width="11.125" customWidth="1"/>
    <col min="15623" max="15623" width="5.625" customWidth="1"/>
    <col min="15624" max="15624" width="10.875" customWidth="1"/>
    <col min="15629" max="15629" width="8.125" customWidth="1"/>
    <col min="15630" max="15630" width="5.625" customWidth="1"/>
    <col min="15635" max="15635" width="5.625" customWidth="1"/>
    <col min="15637" max="15637" width="11.375" customWidth="1"/>
    <col min="15644" max="15644" width="12.125" customWidth="1"/>
    <col min="15645" max="15645" width="13.5" customWidth="1"/>
    <col min="15652" max="15652" width="11.125" customWidth="1"/>
    <col min="15656" max="15656" width="9.5" bestFit="1" customWidth="1"/>
    <col min="15868" max="15868" width="10" customWidth="1"/>
    <col min="15869" max="15869" width="15.5" customWidth="1"/>
    <col min="15873" max="15873" width="12.5" customWidth="1"/>
    <col min="15875" max="15875" width="9.5" customWidth="1"/>
    <col min="15876" max="15878" width="11.125" customWidth="1"/>
    <col min="15879" max="15879" width="5.625" customWidth="1"/>
    <col min="15880" max="15880" width="10.875" customWidth="1"/>
    <col min="15885" max="15885" width="8.125" customWidth="1"/>
    <col min="15886" max="15886" width="5.625" customWidth="1"/>
    <col min="15891" max="15891" width="5.625" customWidth="1"/>
    <col min="15893" max="15893" width="11.375" customWidth="1"/>
    <col min="15900" max="15900" width="12.125" customWidth="1"/>
    <col min="15901" max="15901" width="13.5" customWidth="1"/>
    <col min="15908" max="15908" width="11.125" customWidth="1"/>
    <col min="15912" max="15912" width="9.5" bestFit="1" customWidth="1"/>
    <col min="16124" max="16124" width="10" customWidth="1"/>
    <col min="16125" max="16125" width="15.5" customWidth="1"/>
    <col min="16129" max="16129" width="12.5" customWidth="1"/>
    <col min="16131" max="16131" width="9.5" customWidth="1"/>
    <col min="16132" max="16134" width="11.125" customWidth="1"/>
    <col min="16135" max="16135" width="5.625" customWidth="1"/>
    <col min="16136" max="16136" width="10.875" customWidth="1"/>
    <col min="16141" max="16141" width="8.125" customWidth="1"/>
    <col min="16142" max="16142" width="5.625" customWidth="1"/>
    <col min="16147" max="16147" width="5.625" customWidth="1"/>
    <col min="16149" max="16149" width="11.375" customWidth="1"/>
    <col min="16156" max="16156" width="12.125" customWidth="1"/>
    <col min="16157" max="16157" width="13.5" customWidth="1"/>
    <col min="16164" max="16164" width="11.125" customWidth="1"/>
    <col min="16168" max="16168" width="9.5" bestFit="1" customWidth="1"/>
  </cols>
  <sheetData>
    <row r="1" spans="1:51" s="259" customFormat="1">
      <c r="A1" s="259" t="s">
        <v>8</v>
      </c>
    </row>
    <row r="2" spans="1:51" ht="24">
      <c r="A2" s="3" t="s">
        <v>91</v>
      </c>
      <c r="AB2" s="278" t="s">
        <v>92</v>
      </c>
      <c r="AC2" s="278"/>
      <c r="AD2" s="278"/>
      <c r="AE2" s="278"/>
      <c r="AF2" s="278"/>
      <c r="AG2" s="278"/>
      <c r="AH2" s="278"/>
      <c r="AI2" s="278"/>
      <c r="AJ2" s="278"/>
      <c r="AL2" s="218">
        <v>0.04</v>
      </c>
      <c r="AM2" s="219">
        <f>AM$6+NPV($AL2,AM$7:AM$25)</f>
        <v>13.146867213005311</v>
      </c>
      <c r="AN2" s="220">
        <f>NPV($AL2,AN$6:AN$25)</f>
        <v>8.3228228036342541E-2</v>
      </c>
      <c r="AO2" s="221">
        <f>0.85*AN2*1000/AM2</f>
        <v>5.3810533478963629</v>
      </c>
    </row>
    <row r="3" spans="1:51" ht="19.5">
      <c r="D3" s="279" t="s">
        <v>93</v>
      </c>
      <c r="E3" s="279"/>
      <c r="F3" s="279"/>
      <c r="G3" s="279"/>
      <c r="H3" s="279"/>
      <c r="I3" s="279"/>
      <c r="J3" s="279"/>
      <c r="K3" s="279"/>
      <c r="L3" s="279"/>
      <c r="M3" s="279"/>
      <c r="O3" s="280" t="s">
        <v>94</v>
      </c>
      <c r="P3" s="280"/>
      <c r="Q3" s="280"/>
      <c r="R3" s="280"/>
      <c r="S3" s="280"/>
      <c r="T3" s="280"/>
      <c r="U3" s="280"/>
      <c r="W3" s="276" t="s">
        <v>95</v>
      </c>
      <c r="X3" s="277"/>
      <c r="Y3" s="277"/>
      <c r="Z3" s="277"/>
      <c r="AB3" s="2" t="s">
        <v>96</v>
      </c>
      <c r="AC3" s="2" t="s">
        <v>97</v>
      </c>
      <c r="AD3" s="2" t="s">
        <v>98</v>
      </c>
      <c r="AE3" s="2" t="s">
        <v>99</v>
      </c>
      <c r="AF3" s="2" t="s">
        <v>100</v>
      </c>
      <c r="AG3" s="2"/>
      <c r="AH3" s="2" t="s">
        <v>101</v>
      </c>
      <c r="AI3" s="2" t="s">
        <v>102</v>
      </c>
      <c r="AJ3" s="2" t="s">
        <v>103</v>
      </c>
      <c r="AL3" s="218">
        <v>0.06</v>
      </c>
      <c r="AM3" s="219">
        <f>AM$6+NPV($AL3,AM$7:AM$25)</f>
        <v>11.423187578488774</v>
      </c>
      <c r="AN3" s="220">
        <f>NPV($AL3,AN$6:AN$25)</f>
        <v>6.712262652558186E-2</v>
      </c>
      <c r="AO3" s="222">
        <f>1.05*AN3*1000/(AM3-1)</f>
        <v>6.7617278611884544</v>
      </c>
      <c r="AP3" s="82"/>
    </row>
    <row r="4" spans="1:51" ht="31.5">
      <c r="D4" s="53" t="s">
        <v>104</v>
      </c>
      <c r="E4" s="223" t="s">
        <v>105</v>
      </c>
      <c r="F4" s="223" t="s">
        <v>106</v>
      </c>
      <c r="G4" s="223" t="s">
        <v>107</v>
      </c>
      <c r="H4" s="54" t="s">
        <v>108</v>
      </c>
      <c r="I4" s="54" t="s">
        <v>109</v>
      </c>
      <c r="J4" s="54" t="s">
        <v>110</v>
      </c>
      <c r="K4" s="54" t="s">
        <v>111</v>
      </c>
      <c r="L4" s="54" t="s">
        <v>112</v>
      </c>
      <c r="M4" s="54" t="s">
        <v>113</v>
      </c>
      <c r="N4" s="54"/>
      <c r="O4" s="54" t="s">
        <v>114</v>
      </c>
      <c r="P4" s="54" t="s">
        <v>115</v>
      </c>
      <c r="Q4" s="54" t="s">
        <v>116</v>
      </c>
      <c r="R4" s="54" t="s">
        <v>117</v>
      </c>
      <c r="S4" s="54" t="s">
        <v>118</v>
      </c>
      <c r="T4" s="54" t="s">
        <v>119</v>
      </c>
      <c r="U4" s="54" t="s">
        <v>120</v>
      </c>
      <c r="V4" s="54"/>
      <c r="W4" s="54" t="s">
        <v>121</v>
      </c>
      <c r="X4" s="54" t="s">
        <v>122</v>
      </c>
      <c r="Y4" s="54" t="s">
        <v>123</v>
      </c>
      <c r="Z4" s="54" t="s">
        <v>124</v>
      </c>
      <c r="AA4" s="54"/>
      <c r="AB4" s="54" t="s">
        <v>125</v>
      </c>
      <c r="AC4" s="54" t="s">
        <v>126</v>
      </c>
      <c r="AD4" s="54" t="s">
        <v>127</v>
      </c>
      <c r="AE4" s="54" t="s">
        <v>128</v>
      </c>
      <c r="AF4" s="54" t="s">
        <v>129</v>
      </c>
      <c r="AG4" s="54" t="s">
        <v>130</v>
      </c>
      <c r="AH4" s="54" t="s">
        <v>131</v>
      </c>
      <c r="AI4" s="54" t="s">
        <v>132</v>
      </c>
      <c r="AJ4" s="54" t="s">
        <v>133</v>
      </c>
      <c r="AK4" s="223"/>
      <c r="AL4" s="53" t="s">
        <v>56</v>
      </c>
      <c r="AM4" s="53" t="s">
        <v>134</v>
      </c>
      <c r="AN4" s="53" t="s">
        <v>118</v>
      </c>
      <c r="AO4" s="53" t="s">
        <v>112</v>
      </c>
      <c r="AP4" s="54" t="s">
        <v>135</v>
      </c>
    </row>
    <row r="5" spans="1:51" ht="18.75">
      <c r="A5" s="40" t="s">
        <v>105</v>
      </c>
      <c r="B5" s="94">
        <v>21329.975932817371</v>
      </c>
      <c r="C5" s="26"/>
      <c r="D5" s="223">
        <v>1</v>
      </c>
      <c r="E5" s="224">
        <f>$B$5</f>
        <v>21329.975932817371</v>
      </c>
      <c r="F5" s="224">
        <f>B17*E5</f>
        <v>19196.978339535635</v>
      </c>
      <c r="G5" s="225">
        <v>575</v>
      </c>
      <c r="H5" s="224">
        <f>$B$11</f>
        <v>2000000</v>
      </c>
      <c r="I5" s="224">
        <f t="shared" ref="I5:I24" si="0">AP5</f>
        <v>0</v>
      </c>
      <c r="J5" s="226">
        <f>AO5</f>
        <v>9.2264057130016681</v>
      </c>
      <c r="K5" s="226">
        <f>H5*I5/1000</f>
        <v>0</v>
      </c>
      <c r="L5" s="227">
        <f>H5*J5/1000</f>
        <v>18452.811426003336</v>
      </c>
      <c r="M5" s="227">
        <f>$B$15*H5/1000</f>
        <v>20</v>
      </c>
      <c r="N5" s="228"/>
      <c r="O5" s="229">
        <v>2.7075232178825821E-3</v>
      </c>
      <c r="P5" s="226">
        <f>O5*1000</f>
        <v>2.7075232178825819</v>
      </c>
      <c r="Q5" s="230">
        <v>9.543710345351621E-3</v>
      </c>
      <c r="R5" s="231">
        <f>B12</f>
        <v>1</v>
      </c>
      <c r="S5" s="232">
        <f>R5*P5/1000</f>
        <v>2.7075232178825821E-3</v>
      </c>
      <c r="T5" s="232">
        <f t="shared" ref="T5:T24" si="1">MIN(Q5*R5,R5-S5)</f>
        <v>9.543710345351621E-3</v>
      </c>
      <c r="U5" s="233">
        <f>R5-SUM(S5:T5)</f>
        <v>0.98774876643676579</v>
      </c>
      <c r="V5" s="234"/>
      <c r="W5" s="235"/>
      <c r="X5" s="235"/>
      <c r="Y5" s="235">
        <f t="shared" ref="Y5:Y24" si="2">L5*U5</f>
        <v>18226.741723325053</v>
      </c>
      <c r="Z5" s="235">
        <f t="shared" ref="Z5:Z24" si="3">M5*U5</f>
        <v>19.754975328735316</v>
      </c>
      <c r="AA5" s="234"/>
      <c r="AB5" s="235">
        <f t="shared" ref="AB5:AB24" si="4">$U5*E5</f>
        <v>21068.657415766262</v>
      </c>
      <c r="AC5" s="235">
        <f t="shared" ref="AC5:AC24" si="5">-$U5*F5</f>
        <v>-18961.791674189637</v>
      </c>
      <c r="AD5" s="235">
        <f t="shared" ref="AD5:AD24" si="6">-$U5*G5</f>
        <v>-567.95554070114031</v>
      </c>
      <c r="AE5" s="235">
        <f t="shared" ref="AE5:AE24" si="7">-S5*H5</f>
        <v>-5415.0464357651645</v>
      </c>
      <c r="AF5" s="235">
        <f t="shared" ref="AF5:AF25" si="8">-K5*T5</f>
        <v>0</v>
      </c>
      <c r="AG5" s="235">
        <f>SUM(AB5:AE5)</f>
        <v>-3876.1362348896801</v>
      </c>
      <c r="AH5" s="235">
        <f>W5-Y5</f>
        <v>-18226.741723325053</v>
      </c>
      <c r="AI5" s="235">
        <f t="shared" ref="AI5:AI24" si="9">$B$13*SUM(W5:X5,AB5:AC5)</f>
        <v>94.808958370948105</v>
      </c>
      <c r="AJ5" s="235">
        <f t="shared" ref="AJ5:AJ24" si="10">SUM(AG5:AI5)</f>
        <v>-22008.068999843785</v>
      </c>
      <c r="AK5" s="228"/>
      <c r="AL5" s="223">
        <v>1</v>
      </c>
      <c r="AM5" s="236">
        <v>1</v>
      </c>
      <c r="AN5" s="236">
        <f>P5/1000*AM5</f>
        <v>2.7075232178825821E-3</v>
      </c>
      <c r="AO5" s="219">
        <f>IFERROR((1000*NPV($AL$2,$AN5:$AN$24)-$AO$2*($AM5+NPV($AL$2,$AM6:$AM$24)))/AM5,0)</f>
        <v>9.2264057130016681</v>
      </c>
      <c r="AP5" s="220">
        <f>MAX(0,1000*NPV($AL$3,$AN5:$AN$24)-$AO$3*($AM5+NPV($AL$3,$AM6:$AM$24)))/AM5</f>
        <v>0</v>
      </c>
      <c r="AQ5" s="24"/>
      <c r="AR5" s="46"/>
      <c r="AS5" s="47"/>
      <c r="AT5" s="45"/>
      <c r="AU5" s="45"/>
      <c r="AV5" s="48"/>
      <c r="AW5" s="49"/>
      <c r="AX5" s="49"/>
      <c r="AY5" s="50"/>
    </row>
    <row r="6" spans="1:51" ht="18.75">
      <c r="A6" s="85" t="s">
        <v>136</v>
      </c>
      <c r="B6" s="63">
        <f>AJ28</f>
        <v>46186.286274680824</v>
      </c>
      <c r="C6" s="26"/>
      <c r="D6" s="237">
        <f>D5+1</f>
        <v>2</v>
      </c>
      <c r="E6" s="224">
        <f t="shared" ref="E6:E24" si="11">$B$5</f>
        <v>21329.975932817371</v>
      </c>
      <c r="F6" s="224">
        <f>$B$18*E6</f>
        <v>1066.4987966408687</v>
      </c>
      <c r="G6" s="225">
        <v>28.75</v>
      </c>
      <c r="H6" s="224">
        <f t="shared" ref="H6:H24" si="12">$B$11</f>
        <v>2000000</v>
      </c>
      <c r="I6" s="224">
        <f t="shared" si="0"/>
        <v>0</v>
      </c>
      <c r="J6" s="226">
        <f t="shared" ref="J6:J24" si="13">AO6</f>
        <v>12.484234205451386</v>
      </c>
      <c r="K6" s="226">
        <f t="shared" ref="K6:K24" si="14">H6*I6/1000</f>
        <v>0</v>
      </c>
      <c r="L6" s="227">
        <f t="shared" ref="L6:L24" si="15">H6*J6/1000</f>
        <v>24968.468410902773</v>
      </c>
      <c r="M6" s="227">
        <f t="shared" ref="M6:M24" si="16">$B$15*H6/1000</f>
        <v>20</v>
      </c>
      <c r="N6" s="226"/>
      <c r="O6" s="230">
        <v>2.861344534754901E-3</v>
      </c>
      <c r="P6" s="226">
        <f t="shared" ref="P6:P24" si="17">O6*1000</f>
        <v>2.8613445347549011</v>
      </c>
      <c r="Q6" s="230">
        <v>9.6026260242596962E-3</v>
      </c>
      <c r="R6" s="232">
        <f>U5</f>
        <v>0.98774876643676579</v>
      </c>
      <c r="S6" s="232">
        <f t="shared" ref="S6:S24" si="18">R6*P6/1000</f>
        <v>2.8262895345547352E-3</v>
      </c>
      <c r="T6" s="232">
        <f t="shared" si="1"/>
        <v>9.4849820100161002E-3</v>
      </c>
      <c r="U6" s="233">
        <f>R6-SUM(S6:T6)</f>
        <v>0.975437494892195</v>
      </c>
      <c r="V6" s="234"/>
      <c r="W6" s="235">
        <f>Y5</f>
        <v>18226.741723325053</v>
      </c>
      <c r="X6" s="235">
        <f>Z5</f>
        <v>19.754975328735316</v>
      </c>
      <c r="Y6" s="235">
        <f t="shared" si="2"/>
        <v>24355.180278025906</v>
      </c>
      <c r="Z6" s="235">
        <f t="shared" si="3"/>
        <v>19.508749897843899</v>
      </c>
      <c r="AA6" s="234"/>
      <c r="AB6" s="235">
        <f t="shared" si="4"/>
        <v>20806.058290018187</v>
      </c>
      <c r="AC6" s="235">
        <f t="shared" si="5"/>
        <v>-1040.3029145009095</v>
      </c>
      <c r="AD6" s="235">
        <f t="shared" si="6"/>
        <v>-28.043827978150606</v>
      </c>
      <c r="AE6" s="235">
        <f t="shared" si="7"/>
        <v>-5652.5790691094708</v>
      </c>
      <c r="AF6" s="235">
        <f t="shared" si="8"/>
        <v>0</v>
      </c>
      <c r="AG6" s="235">
        <f t="shared" ref="AG6:AG15" si="19">SUM(AB6:AE6)</f>
        <v>14085.132478429656</v>
      </c>
      <c r="AH6" s="235">
        <f>-H6*$U5*(J6-J5)/1000</f>
        <v>-6435.8321493595149</v>
      </c>
      <c r="AI6" s="235">
        <f t="shared" si="9"/>
        <v>1710.5513433376977</v>
      </c>
      <c r="AJ6" s="235">
        <f t="shared" si="10"/>
        <v>9359.8516724078381</v>
      </c>
      <c r="AK6" s="228"/>
      <c r="AL6" s="237">
        <f>AL5+1</f>
        <v>2</v>
      </c>
      <c r="AM6" s="236">
        <v>1</v>
      </c>
      <c r="AN6" s="236">
        <f>P6/1000*AM6</f>
        <v>2.861344534754901E-3</v>
      </c>
      <c r="AO6" s="219">
        <f>IFERROR((1000*NPV($AL$2,$AN6:$AN$24)-$AO$2*($AM6+NPV($AL$2,$AM7:$AM$24)))/AM6,0)</f>
        <v>12.484234205451386</v>
      </c>
      <c r="AP6" s="220">
        <f>MAX(0,1000*NPV($AL$3,$AN6:$AN$24)-$AO$3*($AM6+NPV($AL$3,$AM7:$AM$24)))/AM6</f>
        <v>0</v>
      </c>
      <c r="AQ6" s="24"/>
      <c r="AR6" s="46"/>
      <c r="AS6" s="47"/>
      <c r="AT6" s="45"/>
      <c r="AU6" s="45"/>
      <c r="AV6" s="48"/>
      <c r="AW6" s="49"/>
    </row>
    <row r="7" spans="1:51" ht="18.75">
      <c r="A7" s="40" t="s">
        <v>137</v>
      </c>
      <c r="B7" s="93">
        <f>IFERROR(AJ28/AB28*100,"NA")</f>
        <v>27.321567348453442</v>
      </c>
      <c r="C7" s="26"/>
      <c r="D7" s="237">
        <f>D6+1</f>
        <v>3</v>
      </c>
      <c r="E7" s="224">
        <f t="shared" si="11"/>
        <v>21329.975932817371</v>
      </c>
      <c r="F7" s="224">
        <f t="shared" ref="F7:F24" si="20">$B$18*E7</f>
        <v>1066.4987966408687</v>
      </c>
      <c r="G7" s="225">
        <v>28.75</v>
      </c>
      <c r="H7" s="224">
        <f t="shared" si="12"/>
        <v>2000000</v>
      </c>
      <c r="I7" s="224">
        <f t="shared" si="0"/>
        <v>0</v>
      </c>
      <c r="J7" s="226">
        <f t="shared" si="13"/>
        <v>15.7636597824931</v>
      </c>
      <c r="K7" s="226">
        <f t="shared" si="14"/>
        <v>0</v>
      </c>
      <c r="L7" s="227">
        <f t="shared" si="15"/>
        <v>31527.319564986199</v>
      </c>
      <c r="M7" s="227">
        <f t="shared" si="16"/>
        <v>20</v>
      </c>
      <c r="N7" s="226"/>
      <c r="O7" s="230">
        <v>3.020498033793229E-3</v>
      </c>
      <c r="P7" s="226">
        <f t="shared" si="17"/>
        <v>3.020498033793229</v>
      </c>
      <c r="Q7" s="230">
        <v>9.1095162381299583E-3</v>
      </c>
      <c r="R7" s="232">
        <f>U6</f>
        <v>0.975437494892195</v>
      </c>
      <c r="S7" s="232">
        <f t="shared" si="18"/>
        <v>2.9463070354100677E-3</v>
      </c>
      <c r="T7" s="232">
        <f t="shared" si="1"/>
        <v>8.8857636990012593E-3</v>
      </c>
      <c r="U7" s="233">
        <f t="shared" ref="U7:U15" si="21">R7-SUM(S7:T7)</f>
        <v>0.96360542415778372</v>
      </c>
      <c r="V7" s="234"/>
      <c r="W7" s="235">
        <f>Y6</f>
        <v>24355.180278025906</v>
      </c>
      <c r="X7" s="235">
        <f>Z6</f>
        <v>19.508749897843899</v>
      </c>
      <c r="Y7" s="235">
        <f t="shared" si="2"/>
        <v>30379.896141976518</v>
      </c>
      <c r="Z7" s="235">
        <f t="shared" si="3"/>
        <v>19.272108483155673</v>
      </c>
      <c r="AA7" s="234"/>
      <c r="AB7" s="235">
        <f t="shared" si="4"/>
        <v>20553.680506017801</v>
      </c>
      <c r="AC7" s="235">
        <f t="shared" si="5"/>
        <v>-1027.6840253008902</v>
      </c>
      <c r="AD7" s="235">
        <f t="shared" si="6"/>
        <v>-27.703655944536283</v>
      </c>
      <c r="AE7" s="235">
        <f t="shared" si="7"/>
        <v>-5892.6140708201356</v>
      </c>
      <c r="AF7" s="235">
        <f t="shared" si="8"/>
        <v>0</v>
      </c>
      <c r="AG7" s="235">
        <f t="shared" si="19"/>
        <v>13605.678753952241</v>
      </c>
      <c r="AH7" s="235">
        <f t="shared" ref="AH7:AH24" si="22">-H7*($U6*J7-$U5*J6)/1000</f>
        <v>-6090.355744451258</v>
      </c>
      <c r="AI7" s="235">
        <f t="shared" si="9"/>
        <v>1975.5308478888296</v>
      </c>
      <c r="AJ7" s="235">
        <f t="shared" si="10"/>
        <v>9490.8538573898131</v>
      </c>
      <c r="AK7" s="228"/>
      <c r="AL7" s="237">
        <f>AL6+1</f>
        <v>3</v>
      </c>
      <c r="AM7" s="236">
        <f>AM6-AN6</f>
        <v>0.99713865546524505</v>
      </c>
      <c r="AN7" s="236">
        <f t="shared" ref="AN7:AN24" si="23">P7/1000*AM7</f>
        <v>3.0118553482519966E-3</v>
      </c>
      <c r="AO7" s="219">
        <f>IFERROR((1000*NPV($AL$2,$AN7:$AN$24)-$AO$2*($AM7+NPV($AL$2,$AM8:$AM$24)))/AM7,0)</f>
        <v>15.7636597824931</v>
      </c>
      <c r="AP7" s="220">
        <f>MAX(0,1000*NPV($AL$3,$AN7:$AN$24)-$AO$3*($AM7+NPV($AL$3,$AM8:$AM$24)))/AM7</f>
        <v>0</v>
      </c>
      <c r="AQ7" s="24"/>
      <c r="AR7" s="46"/>
      <c r="AS7" s="47"/>
      <c r="AT7" s="45"/>
      <c r="AU7" s="45"/>
      <c r="AV7" s="48"/>
      <c r="AW7" s="49"/>
    </row>
    <row r="8" spans="1:51">
      <c r="A8" s="36" t="s">
        <v>138</v>
      </c>
      <c r="B8" s="86" t="s">
        <v>139</v>
      </c>
      <c r="C8" s="26"/>
      <c r="D8" s="237">
        <f t="shared" ref="D8:D23" si="24">D7+1</f>
        <v>4</v>
      </c>
      <c r="E8" s="224">
        <f t="shared" si="11"/>
        <v>21329.975932817371</v>
      </c>
      <c r="F8" s="224">
        <f t="shared" si="20"/>
        <v>1066.4987966408687</v>
      </c>
      <c r="G8" s="225">
        <v>28.75</v>
      </c>
      <c r="H8" s="224">
        <f t="shared" si="12"/>
        <v>2000000</v>
      </c>
      <c r="I8" s="224">
        <f t="shared" si="0"/>
        <v>0</v>
      </c>
      <c r="J8" s="226">
        <f t="shared" si="13"/>
        <v>19.02747607588708</v>
      </c>
      <c r="K8" s="226">
        <f t="shared" si="14"/>
        <v>0</v>
      </c>
      <c r="L8" s="227">
        <f t="shared" si="15"/>
        <v>38054.95215177416</v>
      </c>
      <c r="M8" s="227">
        <f t="shared" si="16"/>
        <v>20</v>
      </c>
      <c r="N8" s="226"/>
      <c r="O8" s="230">
        <v>3.1849914172939163E-3</v>
      </c>
      <c r="P8" s="226">
        <f t="shared" si="17"/>
        <v>3.1849914172939164</v>
      </c>
      <c r="Q8" s="230">
        <v>9.3262965362191814E-3</v>
      </c>
      <c r="R8" s="232">
        <f t="shared" ref="R8:R15" si="25">U7</f>
        <v>0.96360542415778372</v>
      </c>
      <c r="S8" s="232">
        <f t="shared" si="18"/>
        <v>3.0690750056004052E-3</v>
      </c>
      <c r="T8" s="232">
        <f t="shared" si="1"/>
        <v>8.986869929604754E-3</v>
      </c>
      <c r="U8" s="233">
        <f t="shared" si="21"/>
        <v>0.9515494792225786</v>
      </c>
      <c r="V8" s="234"/>
      <c r="W8" s="235">
        <f t="shared" ref="W8:X15" si="26">Y7</f>
        <v>30379.896141976518</v>
      </c>
      <c r="X8" s="235">
        <f t="shared" si="26"/>
        <v>19.272108483155673</v>
      </c>
      <c r="Y8" s="235">
        <f t="shared" si="2"/>
        <v>36211.169901860849</v>
      </c>
      <c r="Z8" s="235">
        <f t="shared" si="3"/>
        <v>19.030989584451572</v>
      </c>
      <c r="AA8" s="234"/>
      <c r="AB8" s="235">
        <f t="shared" si="4"/>
        <v>20296.527490702505</v>
      </c>
      <c r="AC8" s="235">
        <f t="shared" si="5"/>
        <v>-1014.8263745351254</v>
      </c>
      <c r="AD8" s="235">
        <f t="shared" si="6"/>
        <v>-27.357047527649133</v>
      </c>
      <c r="AE8" s="235">
        <f t="shared" si="7"/>
        <v>-6138.1500112008107</v>
      </c>
      <c r="AF8" s="235">
        <f t="shared" si="8"/>
        <v>0</v>
      </c>
      <c r="AG8" s="235">
        <f t="shared" si="19"/>
        <v>13116.194057438919</v>
      </c>
      <c r="AH8" s="235">
        <f t="shared" si="22"/>
        <v>-5917.0286923786789</v>
      </c>
      <c r="AI8" s="235">
        <f t="shared" si="9"/>
        <v>2235.6391214982173</v>
      </c>
      <c r="AJ8" s="235">
        <f t="shared" si="10"/>
        <v>9434.8044865584579</v>
      </c>
      <c r="AK8" s="228"/>
      <c r="AL8" s="237">
        <f t="shared" ref="AL8:AL23" si="27">AL7+1</f>
        <v>4</v>
      </c>
      <c r="AM8" s="236">
        <f t="shared" ref="AM8:AM23" si="28">AM7-AN7</f>
        <v>0.99412680011699306</v>
      </c>
      <c r="AN8" s="236">
        <f t="shared" si="23"/>
        <v>3.1662853260744877E-3</v>
      </c>
      <c r="AO8" s="219">
        <f>IFERROR((1000*NPV($AL$2,$AN8:$AN$24)-$AO$2*($AM8+NPV($AL$2,$AM9:$AM$24)))/AM8,0)</f>
        <v>19.02747607588708</v>
      </c>
      <c r="AP8" s="220">
        <f>MAX(0,1000*NPV($AL$3,$AN8:$AN$24)-$AO$3*($AM8+NPV($AL$3,$AM9:$AM$24)))/AM8</f>
        <v>0</v>
      </c>
      <c r="AQ8" s="24"/>
      <c r="AR8" s="46"/>
      <c r="AS8" s="47"/>
      <c r="AT8" s="45"/>
      <c r="AU8" s="45"/>
      <c r="AV8" s="48"/>
      <c r="AW8" s="49"/>
    </row>
    <row r="9" spans="1:51">
      <c r="A9" s="36" t="s">
        <v>140</v>
      </c>
      <c r="B9" s="37" t="s">
        <v>141</v>
      </c>
      <c r="C9" s="26"/>
      <c r="D9" s="237">
        <f t="shared" si="24"/>
        <v>5</v>
      </c>
      <c r="E9" s="224">
        <f t="shared" si="11"/>
        <v>21329.975932817371</v>
      </c>
      <c r="F9" s="224">
        <f t="shared" si="20"/>
        <v>1066.4987966408687</v>
      </c>
      <c r="G9" s="225">
        <v>28.75</v>
      </c>
      <c r="H9" s="224">
        <f t="shared" si="12"/>
        <v>2000000</v>
      </c>
      <c r="I9" s="224">
        <f t="shared" si="0"/>
        <v>1.1403172579584764</v>
      </c>
      <c r="J9" s="226">
        <f t="shared" si="13"/>
        <v>22.270811527010569</v>
      </c>
      <c r="K9" s="226">
        <f t="shared" si="14"/>
        <v>2280.6345159169528</v>
      </c>
      <c r="L9" s="227">
        <f t="shared" si="15"/>
        <v>44541.623054021133</v>
      </c>
      <c r="M9" s="227">
        <f t="shared" si="16"/>
        <v>20</v>
      </c>
      <c r="N9" s="226"/>
      <c r="O9" s="230">
        <v>3.5239790823866387E-3</v>
      </c>
      <c r="P9" s="226">
        <f t="shared" si="17"/>
        <v>3.5239790823866386</v>
      </c>
      <c r="Q9" s="230">
        <v>8.999150630253196E-3</v>
      </c>
      <c r="R9" s="232">
        <f t="shared" si="25"/>
        <v>0.9515494792225786</v>
      </c>
      <c r="S9" s="232">
        <f t="shared" si="18"/>
        <v>3.3532404606362665E-3</v>
      </c>
      <c r="T9" s="232">
        <f t="shared" si="1"/>
        <v>8.563137095662969E-3</v>
      </c>
      <c r="U9" s="233">
        <f t="shared" si="21"/>
        <v>0.93963310166627934</v>
      </c>
      <c r="V9" s="234"/>
      <c r="W9" s="235">
        <f t="shared" si="26"/>
        <v>36211.169901860849</v>
      </c>
      <c r="X9" s="235">
        <f t="shared" si="26"/>
        <v>19.030989584451572</v>
      </c>
      <c r="Y9" s="235">
        <f t="shared" si="2"/>
        <v>41852.783423500128</v>
      </c>
      <c r="Z9" s="235">
        <f t="shared" si="3"/>
        <v>18.792662033325588</v>
      </c>
      <c r="AA9" s="234"/>
      <c r="AB9" s="235">
        <f t="shared" si="4"/>
        <v>20042.351444220276</v>
      </c>
      <c r="AC9" s="235">
        <f t="shared" si="5"/>
        <v>-1002.1175722110139</v>
      </c>
      <c r="AD9" s="235">
        <f t="shared" si="6"/>
        <v>-27.01445167290553</v>
      </c>
      <c r="AE9" s="235">
        <f t="shared" si="7"/>
        <v>-6706.4809212725331</v>
      </c>
      <c r="AF9" s="235">
        <f t="shared" si="8"/>
        <v>-19.529386024897818</v>
      </c>
      <c r="AG9" s="235">
        <f t="shared" si="19"/>
        <v>12306.738499063824</v>
      </c>
      <c r="AH9" s="235">
        <f t="shared" si="22"/>
        <v>-5713.5999112677073</v>
      </c>
      <c r="AI9" s="235">
        <f t="shared" si="9"/>
        <v>2487.1695643554553</v>
      </c>
      <c r="AJ9" s="235">
        <f t="shared" si="10"/>
        <v>9080.3081521515724</v>
      </c>
      <c r="AK9" s="228"/>
      <c r="AL9" s="237">
        <f t="shared" si="27"/>
        <v>5</v>
      </c>
      <c r="AM9" s="236">
        <f t="shared" si="28"/>
        <v>0.99096051479091862</v>
      </c>
      <c r="AN9" s="236">
        <f t="shared" si="23"/>
        <v>3.4921241255942924E-3</v>
      </c>
      <c r="AO9" s="219">
        <f>IFERROR((1000*NPV($AL$2,$AN9:$AN$24)-$AO$2*($AM9+NPV($AL$2,$AM10:$AM$24)))/AM9,0)</f>
        <v>22.270811527010569</v>
      </c>
      <c r="AP9" s="220">
        <f>MAX(0,1000*NPV($AL$3,$AN9:$AN$24)-$AO$3*($AM9+NPV($AL$3,$AM10:$AM$24)))/AM9</f>
        <v>1.1403172579584764</v>
      </c>
      <c r="AQ9" s="24"/>
      <c r="AR9" s="46"/>
      <c r="AS9" s="47"/>
      <c r="AT9" s="45"/>
      <c r="AU9" s="45"/>
      <c r="AV9" s="48"/>
      <c r="AW9" s="49"/>
    </row>
    <row r="10" spans="1:51">
      <c r="A10" s="36" t="s">
        <v>142</v>
      </c>
      <c r="B10" s="37">
        <v>62</v>
      </c>
      <c r="C10" s="26"/>
      <c r="D10" s="237">
        <f t="shared" si="24"/>
        <v>6</v>
      </c>
      <c r="E10" s="224">
        <f t="shared" si="11"/>
        <v>21329.975932817371</v>
      </c>
      <c r="F10" s="224">
        <f t="shared" si="20"/>
        <v>1066.4987966408687</v>
      </c>
      <c r="G10" s="225">
        <v>28.75</v>
      </c>
      <c r="H10" s="224">
        <f t="shared" si="12"/>
        <v>2000000</v>
      </c>
      <c r="I10" s="224">
        <f t="shared" si="0"/>
        <v>4.8693482251996052</v>
      </c>
      <c r="J10" s="226">
        <f t="shared" si="13"/>
        <v>25.323198810423634</v>
      </c>
      <c r="K10" s="226">
        <f t="shared" si="14"/>
        <v>9738.6964503992112</v>
      </c>
      <c r="L10" s="227">
        <f t="shared" si="15"/>
        <v>50646.397620847267</v>
      </c>
      <c r="M10" s="227">
        <f t="shared" si="16"/>
        <v>20</v>
      </c>
      <c r="N10" s="226"/>
      <c r="O10" s="230">
        <v>3.8990461656093606E-3</v>
      </c>
      <c r="P10" s="226">
        <f t="shared" si="17"/>
        <v>3.8990461656093607</v>
      </c>
      <c r="Q10" s="230">
        <v>9.6738845069457916E-3</v>
      </c>
      <c r="R10" s="232">
        <f t="shared" si="25"/>
        <v>0.93963310166627934</v>
      </c>
      <c r="S10" s="232">
        <f t="shared" si="18"/>
        <v>3.663672842131537E-3</v>
      </c>
      <c r="T10" s="232">
        <f t="shared" si="1"/>
        <v>9.0899021044228388E-3</v>
      </c>
      <c r="U10" s="233">
        <f t="shared" si="21"/>
        <v>0.92687952671972496</v>
      </c>
      <c r="V10" s="234"/>
      <c r="W10" s="235">
        <f t="shared" si="26"/>
        <v>41852.783423500128</v>
      </c>
      <c r="X10" s="235">
        <f t="shared" si="26"/>
        <v>18.792662033325588</v>
      </c>
      <c r="Y10" s="235">
        <f t="shared" si="2"/>
        <v>46943.109056869922</v>
      </c>
      <c r="Z10" s="235">
        <f t="shared" si="3"/>
        <v>18.5375905343945</v>
      </c>
      <c r="AA10" s="234"/>
      <c r="AB10" s="235">
        <f t="shared" si="4"/>
        <v>19770.317997552887</v>
      </c>
      <c r="AC10" s="235">
        <f t="shared" si="5"/>
        <v>-988.51589987764453</v>
      </c>
      <c r="AD10" s="235">
        <f t="shared" si="6"/>
        <v>-26.647786393192092</v>
      </c>
      <c r="AE10" s="235">
        <f t="shared" si="7"/>
        <v>-7327.345684263074</v>
      </c>
      <c r="AF10" s="235">
        <f t="shared" si="8"/>
        <v>-88.523797358819024</v>
      </c>
      <c r="AG10" s="235">
        <f t="shared" si="19"/>
        <v>11427.808627018978</v>
      </c>
      <c r="AH10" s="235">
        <f t="shared" si="22"/>
        <v>-5205.4734639181743</v>
      </c>
      <c r="AI10" s="235">
        <f t="shared" si="9"/>
        <v>2729.4020182443915</v>
      </c>
      <c r="AJ10" s="235">
        <f t="shared" si="10"/>
        <v>8951.7371813451955</v>
      </c>
      <c r="AK10" s="228"/>
      <c r="AL10" s="237">
        <f t="shared" si="27"/>
        <v>6</v>
      </c>
      <c r="AM10" s="236">
        <f t="shared" si="28"/>
        <v>0.98746839066532432</v>
      </c>
      <c r="AN10" s="236">
        <f t="shared" si="23"/>
        <v>3.8501848422840788E-3</v>
      </c>
      <c r="AO10" s="219">
        <f>IFERROR((1000*NPV($AL$2,$AN10:$AN$24)-$AO$2*($AM10+NPV($AL$2,$AM11:$AM$24)))/AM10,0)</f>
        <v>25.323198810423634</v>
      </c>
      <c r="AP10" s="220">
        <f>MAX(0,1000*NPV($AL$3,$AN10:$AN$24)-$AO$3*($AM10+NPV($AL$3,$AM11:$AM$24)))/AM10</f>
        <v>4.8693482251996052</v>
      </c>
      <c r="AQ10" s="24"/>
      <c r="AR10" s="46"/>
      <c r="AS10" s="47"/>
      <c r="AT10" s="45"/>
      <c r="AU10" s="45"/>
      <c r="AV10" s="48"/>
      <c r="AW10" s="49"/>
    </row>
    <row r="11" spans="1:51">
      <c r="A11" s="36" t="s">
        <v>143</v>
      </c>
      <c r="B11" s="87">
        <v>2000000</v>
      </c>
      <c r="C11" s="26"/>
      <c r="D11" s="237">
        <f t="shared" si="24"/>
        <v>7</v>
      </c>
      <c r="E11" s="224">
        <f t="shared" si="11"/>
        <v>21329.975932817371</v>
      </c>
      <c r="F11" s="224">
        <f t="shared" si="20"/>
        <v>1066.4987966408687</v>
      </c>
      <c r="G11" s="225">
        <v>28.75</v>
      </c>
      <c r="H11" s="224">
        <f t="shared" si="12"/>
        <v>2000000</v>
      </c>
      <c r="I11" s="224">
        <f t="shared" si="0"/>
        <v>8.4628916913611238</v>
      </c>
      <c r="J11" s="226">
        <f t="shared" si="13"/>
        <v>28.143107353859836</v>
      </c>
      <c r="K11" s="226">
        <f t="shared" si="14"/>
        <v>16925.783382722246</v>
      </c>
      <c r="L11" s="227">
        <f t="shared" si="15"/>
        <v>56286.214707719671</v>
      </c>
      <c r="M11" s="227">
        <f t="shared" si="16"/>
        <v>20</v>
      </c>
      <c r="N11" s="226"/>
      <c r="O11" s="230">
        <v>4.3140327017086137E-3</v>
      </c>
      <c r="P11" s="226">
        <f t="shared" si="17"/>
        <v>4.314032701708614</v>
      </c>
      <c r="Q11" s="230">
        <v>9.2830646624254814E-3</v>
      </c>
      <c r="R11" s="232">
        <f t="shared" si="25"/>
        <v>0.92687952671972496</v>
      </c>
      <c r="S11" s="232">
        <f t="shared" si="18"/>
        <v>3.9985885888130963E-3</v>
      </c>
      <c r="T11" s="232">
        <f t="shared" si="1"/>
        <v>8.6042825808175342E-3</v>
      </c>
      <c r="U11" s="233">
        <f t="shared" si="21"/>
        <v>0.9142766555500943</v>
      </c>
      <c r="V11" s="234"/>
      <c r="W11" s="235">
        <f t="shared" si="26"/>
        <v>46943.109056869922</v>
      </c>
      <c r="X11" s="235">
        <f t="shared" si="26"/>
        <v>18.5375905343945</v>
      </c>
      <c r="Y11" s="235">
        <f t="shared" si="2"/>
        <v>51461.17213654847</v>
      </c>
      <c r="Z11" s="235">
        <f t="shared" si="3"/>
        <v>18.285533111001886</v>
      </c>
      <c r="AA11" s="234"/>
      <c r="AB11" s="235">
        <f t="shared" si="4"/>
        <v>19501.499058820271</v>
      </c>
      <c r="AC11" s="235">
        <f t="shared" si="5"/>
        <v>-975.07495294101363</v>
      </c>
      <c r="AD11" s="235">
        <f t="shared" si="6"/>
        <v>-26.285453847065209</v>
      </c>
      <c r="AE11" s="235">
        <f t="shared" si="7"/>
        <v>-7997.177177626193</v>
      </c>
      <c r="AF11" s="235">
        <f t="shared" si="8"/>
        <v>-145.6342231266479</v>
      </c>
      <c r="AG11" s="235">
        <f t="shared" si="19"/>
        <v>10502.961474406002</v>
      </c>
      <c r="AH11" s="235">
        <f t="shared" si="22"/>
        <v>-4581.5083644356419</v>
      </c>
      <c r="AI11" s="235">
        <f t="shared" si="9"/>
        <v>2946.9631838977607</v>
      </c>
      <c r="AJ11" s="235">
        <f t="shared" si="10"/>
        <v>8868.4162938681202</v>
      </c>
      <c r="AK11" s="228"/>
      <c r="AL11" s="237">
        <f t="shared" si="27"/>
        <v>7</v>
      </c>
      <c r="AM11" s="236">
        <f t="shared" si="28"/>
        <v>0.98361820582304027</v>
      </c>
      <c r="AN11" s="236">
        <f t="shared" si="23"/>
        <v>4.24336110591655E-3</v>
      </c>
      <c r="AO11" s="219">
        <f>IFERROR((1000*NPV($AL$2,$AN11:$AN$24)-$AO$2*($AM11+NPV($AL$2,$AM12:$AM$24)))/AM11,0)</f>
        <v>28.143107353859836</v>
      </c>
      <c r="AP11" s="220">
        <f>MAX(0,1000*NPV($AL$3,$AN11:$AN$24)-$AO$3*($AM11+NPV($AL$3,$AM12:$AM$24)))/AM11</f>
        <v>8.4628916913611238</v>
      </c>
      <c r="AQ11" s="24"/>
      <c r="AR11" s="46"/>
      <c r="AS11" s="47"/>
      <c r="AT11" s="45"/>
      <c r="AU11" s="45"/>
      <c r="AV11" s="48"/>
      <c r="AW11" s="49"/>
    </row>
    <row r="12" spans="1:51">
      <c r="A12" s="36" t="s">
        <v>144</v>
      </c>
      <c r="B12" s="87">
        <v>1</v>
      </c>
      <c r="C12" s="26"/>
      <c r="D12" s="237">
        <f t="shared" si="24"/>
        <v>8</v>
      </c>
      <c r="E12" s="224">
        <f t="shared" si="11"/>
        <v>21329.975932817371</v>
      </c>
      <c r="F12" s="224">
        <f t="shared" si="20"/>
        <v>1066.4987966408687</v>
      </c>
      <c r="G12" s="225">
        <v>28.75</v>
      </c>
      <c r="H12" s="224">
        <f t="shared" si="12"/>
        <v>2000000</v>
      </c>
      <c r="I12" s="224">
        <f t="shared" si="0"/>
        <v>11.875294432518245</v>
      </c>
      <c r="J12" s="226">
        <f t="shared" si="13"/>
        <v>30.683463894761495</v>
      </c>
      <c r="K12" s="226">
        <f t="shared" si="14"/>
        <v>23750.58886503649</v>
      </c>
      <c r="L12" s="227">
        <f t="shared" si="15"/>
        <v>61366.92778952299</v>
      </c>
      <c r="M12" s="227">
        <f t="shared" si="16"/>
        <v>20</v>
      </c>
      <c r="N12" s="226"/>
      <c r="O12" s="230">
        <v>4.7731874312144018E-3</v>
      </c>
      <c r="P12" s="226">
        <f t="shared" si="17"/>
        <v>4.773187431214402</v>
      </c>
      <c r="Q12" s="230">
        <v>9.0851295092389418E-3</v>
      </c>
      <c r="R12" s="232">
        <f t="shared" si="25"/>
        <v>0.9142766555500943</v>
      </c>
      <c r="S12" s="232">
        <f t="shared" si="18"/>
        <v>4.3640138409244489E-3</v>
      </c>
      <c r="T12" s="232">
        <f t="shared" si="1"/>
        <v>8.306321822946449E-3</v>
      </c>
      <c r="U12" s="233">
        <f t="shared" si="21"/>
        <v>0.90160631988622342</v>
      </c>
      <c r="V12" s="234"/>
      <c r="W12" s="235">
        <f t="shared" si="26"/>
        <v>51461.17213654847</v>
      </c>
      <c r="X12" s="235">
        <f t="shared" si="26"/>
        <v>18.285533111001886</v>
      </c>
      <c r="Y12" s="235">
        <f t="shared" si="2"/>
        <v>55328.809927035436</v>
      </c>
      <c r="Z12" s="235">
        <f t="shared" si="3"/>
        <v>18.032126397724468</v>
      </c>
      <c r="AA12" s="234"/>
      <c r="AB12" s="235">
        <f t="shared" si="4"/>
        <v>19231.241104049186</v>
      </c>
      <c r="AC12" s="235">
        <f t="shared" si="5"/>
        <v>-961.56205520245942</v>
      </c>
      <c r="AD12" s="235">
        <f t="shared" si="6"/>
        <v>-25.921181696728922</v>
      </c>
      <c r="AE12" s="235">
        <f t="shared" si="7"/>
        <v>-8728.0276818488983</v>
      </c>
      <c r="AF12" s="235">
        <f t="shared" si="8"/>
        <v>-197.28003459748155</v>
      </c>
      <c r="AG12" s="235">
        <f t="shared" si="19"/>
        <v>9515.7301853010995</v>
      </c>
      <c r="AH12" s="235">
        <f t="shared" si="22"/>
        <v>-3935.8094516531924</v>
      </c>
      <c r="AI12" s="235">
        <f t="shared" si="9"/>
        <v>3138.711152332779</v>
      </c>
      <c r="AJ12" s="235">
        <f t="shared" si="10"/>
        <v>8718.6318859806852</v>
      </c>
      <c r="AK12" s="228"/>
      <c r="AL12" s="237">
        <f t="shared" si="27"/>
        <v>8</v>
      </c>
      <c r="AM12" s="236">
        <f t="shared" si="28"/>
        <v>0.97937484471712377</v>
      </c>
      <c r="AN12" s="236">
        <f t="shared" si="23"/>
        <v>4.674739699251332E-3</v>
      </c>
      <c r="AO12" s="219">
        <f>IFERROR((1000*NPV($AL$2,$AN12:$AN$24)-$AO$2*($AM12+NPV($AL$2,$AM13:$AM$24)))/AM12,0)</f>
        <v>30.683463894761495</v>
      </c>
      <c r="AP12" s="220">
        <f>MAX(0,1000*NPV($AL$3,$AN12:$AN$24)-$AO$3*($AM12+NPV($AL$3,$AM13:$AM$24)))/AM12</f>
        <v>11.875294432518245</v>
      </c>
      <c r="AQ12" s="24"/>
      <c r="AR12" s="46"/>
      <c r="AS12" s="47"/>
      <c r="AT12" s="45"/>
      <c r="AU12" s="45"/>
      <c r="AV12" s="48"/>
      <c r="AW12" s="49"/>
    </row>
    <row r="13" spans="1:51">
      <c r="A13" s="33" t="s">
        <v>145</v>
      </c>
      <c r="B13" s="35">
        <f>'Inputs &amp; Results'!B10</f>
        <v>4.4999999999999998E-2</v>
      </c>
      <c r="C13" s="26"/>
      <c r="D13" s="237">
        <f t="shared" si="24"/>
        <v>9</v>
      </c>
      <c r="E13" s="224">
        <f t="shared" si="11"/>
        <v>21329.975932817371</v>
      </c>
      <c r="F13" s="224">
        <f t="shared" si="20"/>
        <v>1066.4987966408687</v>
      </c>
      <c r="G13" s="225">
        <v>28.75</v>
      </c>
      <c r="H13" s="224">
        <f t="shared" si="12"/>
        <v>2000000</v>
      </c>
      <c r="I13" s="224">
        <f t="shared" si="0"/>
        <v>15.053911340515883</v>
      </c>
      <c r="J13" s="226">
        <f t="shared" si="13"/>
        <v>32.890904955283624</v>
      </c>
      <c r="K13" s="226">
        <f t="shared" si="14"/>
        <v>30107.822681031768</v>
      </c>
      <c r="L13" s="227">
        <f t="shared" si="15"/>
        <v>65781.809910567245</v>
      </c>
      <c r="M13" s="227">
        <f t="shared" si="16"/>
        <v>20</v>
      </c>
      <c r="N13" s="226"/>
      <c r="O13" s="230">
        <v>5.2812113001553295E-3</v>
      </c>
      <c r="P13" s="226">
        <f t="shared" si="17"/>
        <v>5.2812113001553298</v>
      </c>
      <c r="Q13" s="230">
        <v>9.463794162476967E-3</v>
      </c>
      <c r="R13" s="232">
        <f t="shared" si="25"/>
        <v>0.90160631988622342</v>
      </c>
      <c r="S13" s="232">
        <f t="shared" si="18"/>
        <v>4.7615734848745839E-3</v>
      </c>
      <c r="T13" s="232">
        <f t="shared" si="1"/>
        <v>8.5326166269915817E-3</v>
      </c>
      <c r="U13" s="233">
        <f t="shared" si="21"/>
        <v>0.88831212977435725</v>
      </c>
      <c r="V13" s="234"/>
      <c r="W13" s="235">
        <f t="shared" si="26"/>
        <v>55328.809927035436</v>
      </c>
      <c r="X13" s="235">
        <f t="shared" si="26"/>
        <v>18.032126397724468</v>
      </c>
      <c r="Y13" s="235">
        <f t="shared" si="2"/>
        <v>58434.779662067907</v>
      </c>
      <c r="Z13" s="235">
        <f t="shared" si="3"/>
        <v>17.766242595487146</v>
      </c>
      <c r="AA13" s="234"/>
      <c r="AB13" s="235">
        <f t="shared" si="4"/>
        <v>18947.676348916782</v>
      </c>
      <c r="AC13" s="235">
        <f t="shared" si="5"/>
        <v>-947.38381744583921</v>
      </c>
      <c r="AD13" s="235">
        <f t="shared" si="6"/>
        <v>-25.538973731012771</v>
      </c>
      <c r="AE13" s="235">
        <f t="shared" si="7"/>
        <v>-9523.1469697491684</v>
      </c>
      <c r="AF13" s="235">
        <f t="shared" si="8"/>
        <v>-256.89850841068591</v>
      </c>
      <c r="AG13" s="235">
        <f t="shared" si="19"/>
        <v>8451.6065879907601</v>
      </c>
      <c r="AH13" s="235">
        <f t="shared" si="22"/>
        <v>-3202.9460481324109</v>
      </c>
      <c r="AI13" s="235">
        <f t="shared" si="9"/>
        <v>3300.6210563206846</v>
      </c>
      <c r="AJ13" s="235">
        <f t="shared" si="10"/>
        <v>8549.2815961790329</v>
      </c>
      <c r="AK13" s="228"/>
      <c r="AL13" s="237">
        <f t="shared" si="27"/>
        <v>9</v>
      </c>
      <c r="AM13" s="236">
        <f t="shared" si="28"/>
        <v>0.97470010501787241</v>
      </c>
      <c r="AN13" s="236">
        <f t="shared" si="23"/>
        <v>5.1475972088829737E-3</v>
      </c>
      <c r="AO13" s="219">
        <f>IFERROR((1000*NPV($AL$2,$AN13:$AN$24)-$AO$2*($AM13+NPV($AL$2,$AM14:$AM$24)))/AM13,0)</f>
        <v>32.890904955283624</v>
      </c>
      <c r="AP13" s="220">
        <f>MAX(0,1000*NPV($AL$3,$AN13:$AN$24)-$AO$3*($AM13+NPV($AL$3,$AM14:$AM$24)))/AM13</f>
        <v>15.053911340515883</v>
      </c>
      <c r="AQ13" s="24"/>
      <c r="AR13" s="46"/>
      <c r="AS13" s="47"/>
      <c r="AT13" s="45"/>
      <c r="AU13" s="45"/>
      <c r="AV13" s="48"/>
      <c r="AW13" s="49"/>
    </row>
    <row r="14" spans="1:51">
      <c r="A14" s="33" t="s">
        <v>146</v>
      </c>
      <c r="B14" s="35">
        <f>'Inputs &amp; Results'!B9</f>
        <v>0.10829999999999998</v>
      </c>
      <c r="C14" s="26"/>
      <c r="D14" s="237">
        <f t="shared" si="24"/>
        <v>10</v>
      </c>
      <c r="E14" s="224">
        <f t="shared" si="11"/>
        <v>21329.975932817371</v>
      </c>
      <c r="F14" s="224">
        <f t="shared" si="20"/>
        <v>1066.4987966408687</v>
      </c>
      <c r="G14" s="225">
        <v>28.75</v>
      </c>
      <c r="H14" s="224">
        <f t="shared" si="12"/>
        <v>2000000</v>
      </c>
      <c r="I14" s="224">
        <f t="shared" si="0"/>
        <v>17.938101156180597</v>
      </c>
      <c r="J14" s="226">
        <f t="shared" si="13"/>
        <v>34.704909294287717</v>
      </c>
      <c r="K14" s="226">
        <f t="shared" si="14"/>
        <v>35876.202312361194</v>
      </c>
      <c r="L14" s="227">
        <f t="shared" si="15"/>
        <v>69409.818588575436</v>
      </c>
      <c r="M14" s="227">
        <f t="shared" si="16"/>
        <v>20</v>
      </c>
      <c r="N14" s="226"/>
      <c r="O14" s="230">
        <v>5.8433055895716676E-3</v>
      </c>
      <c r="P14" s="226">
        <f t="shared" si="17"/>
        <v>5.8433055895716679</v>
      </c>
      <c r="Q14" s="230">
        <v>8.8545338570517346E-3</v>
      </c>
      <c r="R14" s="232">
        <f t="shared" si="25"/>
        <v>0.88831212977435725</v>
      </c>
      <c r="S14" s="232">
        <f t="shared" si="18"/>
        <v>5.1906792331948151E-3</v>
      </c>
      <c r="T14" s="232">
        <f t="shared" si="1"/>
        <v>7.8655898287167802E-3</v>
      </c>
      <c r="U14" s="233">
        <f t="shared" si="21"/>
        <v>0.87525586071244565</v>
      </c>
      <c r="V14" s="234"/>
      <c r="W14" s="235">
        <f t="shared" si="26"/>
        <v>58434.779662067907</v>
      </c>
      <c r="X14" s="235">
        <f t="shared" si="26"/>
        <v>17.766242595487146</v>
      </c>
      <c r="Y14" s="235">
        <f t="shared" si="2"/>
        <v>60751.350510638302</v>
      </c>
      <c r="Z14" s="235">
        <f t="shared" si="3"/>
        <v>17.505117214248912</v>
      </c>
      <c r="AA14" s="234"/>
      <c r="AB14" s="235">
        <f t="shared" si="4"/>
        <v>18669.186444053819</v>
      </c>
      <c r="AC14" s="235">
        <f t="shared" si="5"/>
        <v>-933.45932220269106</v>
      </c>
      <c r="AD14" s="235">
        <f t="shared" si="6"/>
        <v>-25.163605995482811</v>
      </c>
      <c r="AE14" s="235">
        <f t="shared" si="7"/>
        <v>-10381.358466389631</v>
      </c>
      <c r="AF14" s="235">
        <f t="shared" si="8"/>
        <v>-282.18749200109363</v>
      </c>
      <c r="AG14" s="235">
        <f t="shared" si="19"/>
        <v>7329.2050494660125</v>
      </c>
      <c r="AH14" s="235">
        <f t="shared" si="22"/>
        <v>-2348.2882287475845</v>
      </c>
      <c r="AI14" s="235">
        <f t="shared" si="9"/>
        <v>3428.4722861931532</v>
      </c>
      <c r="AJ14" s="235">
        <f t="shared" si="10"/>
        <v>8409.3891069115816</v>
      </c>
      <c r="AK14" s="228"/>
      <c r="AL14" s="237">
        <f t="shared" si="27"/>
        <v>10</v>
      </c>
      <c r="AM14" s="236">
        <f t="shared" si="28"/>
        <v>0.96955250780898938</v>
      </c>
      <c r="AN14" s="236">
        <f t="shared" si="23"/>
        <v>5.6653915882634957E-3</v>
      </c>
      <c r="AO14" s="219">
        <f>IFERROR((1000*NPV($AL$2,$AN14:$AN$24)-$AO$2*($AM14+NPV($AL$2,$AM15:$AM$24)))/AM14,0)</f>
        <v>34.704909294287717</v>
      </c>
      <c r="AP14" s="220">
        <f>MAX(0,1000*NPV($AL$3,$AN14:$AN$24)-$AO$3*($AM14+NPV($AL$3,$AM15:$AM$24)))/AM14</f>
        <v>17.938101156180597</v>
      </c>
      <c r="AQ14" s="24"/>
      <c r="AR14" s="46"/>
      <c r="AS14" s="47"/>
      <c r="AT14" s="45"/>
      <c r="AU14" s="45"/>
      <c r="AV14" s="48"/>
      <c r="AW14" s="49"/>
    </row>
    <row r="15" spans="1:51">
      <c r="A15" s="33" t="s">
        <v>147</v>
      </c>
      <c r="B15" s="39">
        <v>0.01</v>
      </c>
      <c r="C15" s="26"/>
      <c r="D15" s="237">
        <f t="shared" si="24"/>
        <v>11</v>
      </c>
      <c r="E15" s="224">
        <f t="shared" si="11"/>
        <v>21329.975932817371</v>
      </c>
      <c r="F15" s="224">
        <f t="shared" si="20"/>
        <v>1066.4987966408687</v>
      </c>
      <c r="G15" s="225">
        <v>28.75</v>
      </c>
      <c r="H15" s="224">
        <f t="shared" si="12"/>
        <v>2000000</v>
      </c>
      <c r="I15" s="224">
        <f t="shared" si="0"/>
        <v>20.458055840886381</v>
      </c>
      <c r="J15" s="226">
        <f t="shared" si="13"/>
        <v>36.056786379694216</v>
      </c>
      <c r="K15" s="226">
        <f t="shared" si="14"/>
        <v>40916.11168177276</v>
      </c>
      <c r="L15" s="227">
        <f t="shared" si="15"/>
        <v>72113.572759388437</v>
      </c>
      <c r="M15" s="227">
        <f t="shared" si="16"/>
        <v>20</v>
      </c>
      <c r="N15" s="226"/>
      <c r="O15" s="230">
        <v>6.4652251675889694E-3</v>
      </c>
      <c r="P15" s="226">
        <f t="shared" si="17"/>
        <v>6.4652251675889696</v>
      </c>
      <c r="Q15" s="230">
        <v>9.0860401965666606E-3</v>
      </c>
      <c r="R15" s="232">
        <f t="shared" si="25"/>
        <v>0.87525586071244565</v>
      </c>
      <c r="S15" s="232">
        <f t="shared" si="18"/>
        <v>5.6587262187578488E-3</v>
      </c>
      <c r="T15" s="232">
        <f t="shared" si="1"/>
        <v>7.9526099327138309E-3</v>
      </c>
      <c r="U15" s="233">
        <f t="shared" si="21"/>
        <v>0.86164452456097396</v>
      </c>
      <c r="V15" s="234"/>
      <c r="W15" s="235">
        <f t="shared" si="26"/>
        <v>60751.350510638302</v>
      </c>
      <c r="X15" s="235">
        <f t="shared" si="26"/>
        <v>17.505117214248912</v>
      </c>
      <c r="Y15" s="235">
        <f t="shared" si="2"/>
        <v>62136.265114656453</v>
      </c>
      <c r="Z15" s="235">
        <f t="shared" si="3"/>
        <v>17.232890491219479</v>
      </c>
      <c r="AA15" s="234"/>
      <c r="AB15" s="235">
        <f t="shared" si="4"/>
        <v>18378.85697152944</v>
      </c>
      <c r="AC15" s="235">
        <f t="shared" si="5"/>
        <v>-918.94284857647222</v>
      </c>
      <c r="AD15" s="235">
        <f t="shared" si="6"/>
        <v>-24.772280081128002</v>
      </c>
      <c r="AE15" s="235">
        <f t="shared" si="7"/>
        <v>-11317.452437515698</v>
      </c>
      <c r="AF15" s="235">
        <f t="shared" si="8"/>
        <v>-325.38987616849448</v>
      </c>
      <c r="AG15" s="235">
        <f t="shared" si="19"/>
        <v>6117.6894053561409</v>
      </c>
      <c r="AH15" s="235">
        <f t="shared" si="22"/>
        <v>-1460.2434168988837</v>
      </c>
      <c r="AI15" s="235">
        <f t="shared" si="9"/>
        <v>3520.2946387862485</v>
      </c>
      <c r="AJ15" s="235">
        <f t="shared" si="10"/>
        <v>8177.7406272435055</v>
      </c>
      <c r="AK15" s="228"/>
      <c r="AL15" s="237">
        <f t="shared" si="27"/>
        <v>11</v>
      </c>
      <c r="AM15" s="236">
        <f t="shared" si="28"/>
        <v>0.96388711622072587</v>
      </c>
      <c r="AN15" s="236">
        <f t="shared" si="23"/>
        <v>6.2317472425049911E-3</v>
      </c>
      <c r="AO15" s="219">
        <f>IFERROR((1000*NPV($AL$2,$AN15:$AN$24)-$AO$2*($AM15+NPV($AL$2,$AM16:$AM$24)))/AM15,0)</f>
        <v>36.056786379694216</v>
      </c>
      <c r="AP15" s="220">
        <f>MAX(0,1000*NPV($AL$3,$AN15:$AN$24)-$AO$3*($AM15+NPV($AL$3,$AM16:$AM$24)))/AM15</f>
        <v>20.458055840886381</v>
      </c>
      <c r="AQ15" s="24"/>
      <c r="AR15" s="46"/>
      <c r="AS15" s="47"/>
      <c r="AT15" s="45"/>
      <c r="AU15" s="45"/>
      <c r="AV15" s="48"/>
      <c r="AW15" s="49"/>
    </row>
    <row r="16" spans="1:51">
      <c r="A16" s="52" t="s">
        <v>148</v>
      </c>
      <c r="B16" s="34"/>
      <c r="C16" s="26"/>
      <c r="D16" s="237">
        <f t="shared" si="24"/>
        <v>12</v>
      </c>
      <c r="E16" s="224">
        <f t="shared" si="11"/>
        <v>21329.975932817371</v>
      </c>
      <c r="F16" s="224">
        <f t="shared" si="20"/>
        <v>1066.4987966408687</v>
      </c>
      <c r="G16" s="225">
        <v>28.75</v>
      </c>
      <c r="H16" s="224">
        <f t="shared" si="12"/>
        <v>2000000</v>
      </c>
      <c r="I16" s="224">
        <f t="shared" si="0"/>
        <v>22.533429250512839</v>
      </c>
      <c r="J16" s="226">
        <f t="shared" si="13"/>
        <v>36.868491246603824</v>
      </c>
      <c r="K16" s="226">
        <f t="shared" si="14"/>
        <v>45066.858501025679</v>
      </c>
      <c r="L16" s="227">
        <f t="shared" si="15"/>
        <v>73736.982493207644</v>
      </c>
      <c r="M16" s="227">
        <f t="shared" si="16"/>
        <v>20</v>
      </c>
      <c r="N16" s="238"/>
      <c r="O16" s="230">
        <v>7.1533374092608059E-3</v>
      </c>
      <c r="P16" s="226">
        <f t="shared" si="17"/>
        <v>7.1533374092608062</v>
      </c>
      <c r="Q16" s="230">
        <v>8.6264665524980588E-3</v>
      </c>
      <c r="R16" s="232">
        <f t="shared" ref="R16:R23" si="29">U15</f>
        <v>0.86164452456097396</v>
      </c>
      <c r="S16" s="232">
        <f t="shared" si="18"/>
        <v>6.1636340110267562E-3</v>
      </c>
      <c r="T16" s="232">
        <f t="shared" si="1"/>
        <v>7.432947671268334E-3</v>
      </c>
      <c r="U16" s="233">
        <f t="shared" ref="U16:U24" si="30">R16-SUM(S16:T16)</f>
        <v>0.84804794287867891</v>
      </c>
      <c r="V16" s="238"/>
      <c r="W16" s="235">
        <f t="shared" ref="W16:W23" si="31">Y15</f>
        <v>62136.265114656453</v>
      </c>
      <c r="X16" s="235">
        <f t="shared" ref="X16:X23" si="32">Z15</f>
        <v>17.232890491219479</v>
      </c>
      <c r="Y16" s="235">
        <f t="shared" si="2"/>
        <v>62532.496317445904</v>
      </c>
      <c r="Z16" s="235">
        <f t="shared" si="3"/>
        <v>16.96095885757358</v>
      </c>
      <c r="AA16" s="238"/>
      <c r="AB16" s="235">
        <f t="shared" si="4"/>
        <v>18088.842211477502</v>
      </c>
      <c r="AC16" s="235">
        <f t="shared" si="5"/>
        <v>-904.4421105738752</v>
      </c>
      <c r="AD16" s="235">
        <f t="shared" si="6"/>
        <v>-24.381378357762017</v>
      </c>
      <c r="AE16" s="235">
        <f t="shared" si="7"/>
        <v>-12327.268022053513</v>
      </c>
      <c r="AF16" s="235">
        <f t="shared" si="8"/>
        <v>-334.97960094657833</v>
      </c>
      <c r="AG16" s="235">
        <f t="shared" ref="AG16:AG24" si="33">SUM(AB16:AE16)</f>
        <v>4832.7507004923518</v>
      </c>
      <c r="AH16" s="235">
        <f t="shared" si="22"/>
        <v>-417.2400283526656</v>
      </c>
      <c r="AI16" s="235">
        <f t="shared" si="9"/>
        <v>3570.2054147723084</v>
      </c>
      <c r="AJ16" s="235">
        <f t="shared" si="10"/>
        <v>7985.7160869119944</v>
      </c>
      <c r="AK16" s="228"/>
      <c r="AL16" s="237">
        <f t="shared" si="27"/>
        <v>12</v>
      </c>
      <c r="AM16" s="236">
        <f t="shared" si="28"/>
        <v>0.9576553689782209</v>
      </c>
      <c r="AN16" s="236">
        <f t="shared" si="23"/>
        <v>6.850431976091368E-3</v>
      </c>
      <c r="AO16" s="219">
        <f>IFERROR((1000*NPV($AL$2,$AN16:$AN$24)-$AO$2*($AM16+NPV($AL$2,$AM17:$AM$24)))/AM16,0)</f>
        <v>36.868491246603824</v>
      </c>
      <c r="AP16" s="220">
        <f>MAX(0,1000*NPV($AL$3,$AN16:$AN$24)-$AO$3*($AM16+NPV($AL$3,$AM17:$AM$24)))/AM16</f>
        <v>22.533429250512839</v>
      </c>
      <c r="AQ16" s="24"/>
      <c r="AR16" s="46"/>
      <c r="AS16" s="47"/>
      <c r="AT16" s="45"/>
      <c r="AU16" s="45"/>
      <c r="AV16" s="48"/>
      <c r="AW16" s="49"/>
    </row>
    <row r="17" spans="1:51">
      <c r="A17" s="33" t="s">
        <v>149</v>
      </c>
      <c r="B17" s="51">
        <v>0.9</v>
      </c>
      <c r="C17" s="26"/>
      <c r="D17" s="237">
        <f t="shared" si="24"/>
        <v>13</v>
      </c>
      <c r="E17" s="224">
        <f t="shared" si="11"/>
        <v>21329.975932817371</v>
      </c>
      <c r="F17" s="224">
        <f t="shared" si="20"/>
        <v>1066.4987966408687</v>
      </c>
      <c r="G17" s="225">
        <v>28.75</v>
      </c>
      <c r="H17" s="224">
        <f t="shared" si="12"/>
        <v>2000000</v>
      </c>
      <c r="I17" s="224">
        <f t="shared" si="0"/>
        <v>24.071722280637982</v>
      </c>
      <c r="J17" s="226">
        <f t="shared" si="13"/>
        <v>37.051228910846454</v>
      </c>
      <c r="K17" s="226">
        <f t="shared" si="14"/>
        <v>48143.444561275966</v>
      </c>
      <c r="L17" s="227">
        <f t="shared" si="15"/>
        <v>74102.457821692908</v>
      </c>
      <c r="M17" s="227">
        <f t="shared" si="16"/>
        <v>20</v>
      </c>
      <c r="N17" s="238"/>
      <c r="O17" s="230">
        <v>7.9146873874174264E-3</v>
      </c>
      <c r="P17" s="226">
        <f t="shared" si="17"/>
        <v>7.9146873874174259</v>
      </c>
      <c r="Q17" s="230">
        <v>8.7097205834053056E-3</v>
      </c>
      <c r="R17" s="232">
        <f t="shared" si="29"/>
        <v>0.84804794287867891</v>
      </c>
      <c r="S17" s="232">
        <f t="shared" si="18"/>
        <v>6.7120343574271733E-3</v>
      </c>
      <c r="T17" s="232">
        <f t="shared" si="1"/>
        <v>7.3862606238049569E-3</v>
      </c>
      <c r="U17" s="233">
        <f t="shared" si="30"/>
        <v>0.83394964789744674</v>
      </c>
      <c r="V17" s="238"/>
      <c r="W17" s="235">
        <f t="shared" si="31"/>
        <v>62532.496317445904</v>
      </c>
      <c r="X17" s="235">
        <f t="shared" si="32"/>
        <v>16.96095885757358</v>
      </c>
      <c r="Y17" s="235">
        <f t="shared" si="2"/>
        <v>61797.718608736199</v>
      </c>
      <c r="Z17" s="235">
        <f t="shared" si="3"/>
        <v>16.678992957948935</v>
      </c>
      <c r="AA17" s="228"/>
      <c r="AB17" s="235">
        <f t="shared" si="4"/>
        <v>17788.125918834059</v>
      </c>
      <c r="AC17" s="235">
        <f t="shared" si="5"/>
        <v>-889.40629594170309</v>
      </c>
      <c r="AD17" s="235">
        <f t="shared" si="6"/>
        <v>-23.976052377051595</v>
      </c>
      <c r="AE17" s="235">
        <f t="shared" si="7"/>
        <v>-13424.068714854347</v>
      </c>
      <c r="AF17" s="235">
        <f t="shared" si="8"/>
        <v>-355.6000288572896</v>
      </c>
      <c r="AG17" s="235">
        <f t="shared" si="33"/>
        <v>3450.6748556609564</v>
      </c>
      <c r="AH17" s="235">
        <f t="shared" si="22"/>
        <v>692.6303049800282</v>
      </c>
      <c r="AI17" s="235">
        <f t="shared" si="9"/>
        <v>3575.1679604638125</v>
      </c>
      <c r="AJ17" s="235">
        <f t="shared" si="10"/>
        <v>7718.4731211047965</v>
      </c>
      <c r="AK17" s="228"/>
      <c r="AL17" s="237">
        <f t="shared" si="27"/>
        <v>13</v>
      </c>
      <c r="AM17" s="236">
        <f t="shared" si="28"/>
        <v>0.95080493700212954</v>
      </c>
      <c r="AN17" s="236">
        <f t="shared" si="23"/>
        <v>7.525323842784975E-3</v>
      </c>
      <c r="AO17" s="219">
        <f>IFERROR((1000*NPV($AL$2,$AN17:$AN$24)-$AO$2*($AM17+NPV($AL$2,$AM18:$AM$24)))/AM17,0)</f>
        <v>37.051228910846454</v>
      </c>
      <c r="AP17" s="220">
        <f>MAX(0,1000*NPV($AL$3,$AN17:$AN$24)-$AO$3*($AM17+NPV($AL$3,$AM18:$AM$24)))/AM17</f>
        <v>24.071722280637982</v>
      </c>
      <c r="AQ17" s="24"/>
      <c r="AR17" s="46"/>
      <c r="AS17" s="47"/>
      <c r="AT17" s="45"/>
      <c r="AU17" s="45"/>
      <c r="AV17" s="48"/>
      <c r="AW17" s="49"/>
    </row>
    <row r="18" spans="1:51">
      <c r="A18" s="33" t="s">
        <v>150</v>
      </c>
      <c r="B18" s="51">
        <v>0.05</v>
      </c>
      <c r="C18" s="26"/>
      <c r="D18" s="237">
        <f t="shared" si="24"/>
        <v>14</v>
      </c>
      <c r="E18" s="224">
        <f t="shared" si="11"/>
        <v>21329.975932817371</v>
      </c>
      <c r="F18" s="224">
        <f t="shared" si="20"/>
        <v>1066.4987966408687</v>
      </c>
      <c r="G18" s="225">
        <v>28.75</v>
      </c>
      <c r="H18" s="224">
        <f t="shared" si="12"/>
        <v>2000000</v>
      </c>
      <c r="I18" s="224">
        <f t="shared" si="0"/>
        <v>24.966370782863336</v>
      </c>
      <c r="J18" s="226">
        <f t="shared" si="13"/>
        <v>36.503802345693337</v>
      </c>
      <c r="K18" s="226">
        <f t="shared" si="14"/>
        <v>49932.741565726676</v>
      </c>
      <c r="L18" s="227">
        <f t="shared" si="15"/>
        <v>73007.604691386674</v>
      </c>
      <c r="M18" s="227">
        <f t="shared" si="16"/>
        <v>20</v>
      </c>
      <c r="N18" s="238"/>
      <c r="O18" s="230">
        <v>8.757070001961173E-3</v>
      </c>
      <c r="P18" s="226">
        <f t="shared" si="17"/>
        <v>8.7570700019611731</v>
      </c>
      <c r="Q18" s="230">
        <v>8.8982161594963281E-3</v>
      </c>
      <c r="R18" s="232">
        <f t="shared" si="29"/>
        <v>0.83394964789744674</v>
      </c>
      <c r="S18" s="232">
        <f t="shared" si="18"/>
        <v>7.302955444748814E-3</v>
      </c>
      <c r="T18" s="232">
        <f t="shared" si="1"/>
        <v>7.4206642331273338E-3</v>
      </c>
      <c r="U18" s="233">
        <f t="shared" si="30"/>
        <v>0.81922602821957058</v>
      </c>
      <c r="V18" s="238"/>
      <c r="W18" s="235">
        <f t="shared" si="31"/>
        <v>61797.718608736199</v>
      </c>
      <c r="X18" s="235">
        <f t="shared" si="32"/>
        <v>16.678992957948935</v>
      </c>
      <c r="Y18" s="235">
        <f t="shared" si="2"/>
        <v>59809.730021149189</v>
      </c>
      <c r="Z18" s="235">
        <f t="shared" si="3"/>
        <v>16.384520564391412</v>
      </c>
      <c r="AA18" s="228"/>
      <c r="AB18" s="235">
        <f t="shared" si="4"/>
        <v>17474.071465461006</v>
      </c>
      <c r="AC18" s="235">
        <f t="shared" si="5"/>
        <v>-873.70357327305032</v>
      </c>
      <c r="AD18" s="235">
        <f t="shared" si="6"/>
        <v>-23.552748311312655</v>
      </c>
      <c r="AE18" s="235">
        <f t="shared" si="7"/>
        <v>-14605.910889497629</v>
      </c>
      <c r="AF18" s="235">
        <f t="shared" si="8"/>
        <v>-370.53410939877847</v>
      </c>
      <c r="AG18" s="235">
        <f t="shared" si="33"/>
        <v>1970.9042543790147</v>
      </c>
      <c r="AH18" s="235">
        <f t="shared" si="22"/>
        <v>1957.7706917228427</v>
      </c>
      <c r="AI18" s="235">
        <f t="shared" si="9"/>
        <v>3528.6644472246949</v>
      </c>
      <c r="AJ18" s="235">
        <f t="shared" si="10"/>
        <v>7457.3393933265525</v>
      </c>
      <c r="AK18" s="228"/>
      <c r="AL18" s="237">
        <f t="shared" si="27"/>
        <v>14</v>
      </c>
      <c r="AM18" s="236">
        <f t="shared" si="28"/>
        <v>0.94327961315934461</v>
      </c>
      <c r="AN18" s="236">
        <f t="shared" si="23"/>
        <v>8.2603656038592356E-3</v>
      </c>
      <c r="AO18" s="219">
        <f>IFERROR((1000*NPV($AL$2,$AN18:$AN$24)-$AO$2*($AM18+NPV($AL$2,$AM19:$AM$24)))/AM18,0)</f>
        <v>36.503802345693337</v>
      </c>
      <c r="AP18" s="220">
        <f>MAX(0,1000*NPV($AL$3,$AN18:$AN$24)-$AO$3*($AM18+NPV($AL$3,$AM19:$AM$24)))/AM18</f>
        <v>24.966370782863336</v>
      </c>
      <c r="AQ18" s="24"/>
      <c r="AR18" s="46"/>
      <c r="AS18" s="47"/>
      <c r="AT18" s="45"/>
      <c r="AU18" s="45"/>
      <c r="AV18" s="48"/>
      <c r="AW18" s="49"/>
    </row>
    <row r="19" spans="1:51">
      <c r="A19" s="52" t="s">
        <v>151</v>
      </c>
      <c r="B19" s="33"/>
      <c r="C19" s="26"/>
      <c r="D19" s="237">
        <f t="shared" si="24"/>
        <v>15</v>
      </c>
      <c r="E19" s="224">
        <f t="shared" si="11"/>
        <v>21329.975932817371</v>
      </c>
      <c r="F19" s="224">
        <f t="shared" si="20"/>
        <v>1066.4987966408687</v>
      </c>
      <c r="G19" s="225">
        <v>28.75</v>
      </c>
      <c r="H19" s="224">
        <f t="shared" si="12"/>
        <v>2000000</v>
      </c>
      <c r="I19" s="224">
        <f t="shared" si="0"/>
        <v>25.094468578739757</v>
      </c>
      <c r="J19" s="226">
        <f t="shared" si="13"/>
        <v>35.110646306895696</v>
      </c>
      <c r="K19" s="226">
        <f t="shared" si="14"/>
        <v>50188.937157479515</v>
      </c>
      <c r="L19" s="227">
        <f t="shared" si="15"/>
        <v>70221.292613791389</v>
      </c>
      <c r="M19" s="227">
        <f t="shared" si="16"/>
        <v>20</v>
      </c>
      <c r="N19" s="238"/>
      <c r="O19" s="230">
        <v>9.6891097860873493E-3</v>
      </c>
      <c r="P19" s="226">
        <f t="shared" si="17"/>
        <v>9.6891097860873501</v>
      </c>
      <c r="Q19" s="230">
        <v>8.9123080926359621E-3</v>
      </c>
      <c r="R19" s="232">
        <f t="shared" si="29"/>
        <v>0.81922602821957058</v>
      </c>
      <c r="S19" s="232">
        <f t="shared" si="18"/>
        <v>7.9375709270397121E-3</v>
      </c>
      <c r="T19" s="232">
        <f t="shared" si="1"/>
        <v>7.3011947609992961E-3</v>
      </c>
      <c r="U19" s="233">
        <f t="shared" si="30"/>
        <v>0.80398726253153152</v>
      </c>
      <c r="V19" s="238"/>
      <c r="W19" s="235">
        <f t="shared" si="31"/>
        <v>59809.730021149189</v>
      </c>
      <c r="X19" s="235">
        <f t="shared" si="32"/>
        <v>16.384520564391412</v>
      </c>
      <c r="Y19" s="235">
        <f t="shared" si="2"/>
        <v>56457.02481998779</v>
      </c>
      <c r="Z19" s="235">
        <f t="shared" si="3"/>
        <v>16.07974525063063</v>
      </c>
      <c r="AA19" s="228"/>
      <c r="AB19" s="235">
        <f t="shared" si="4"/>
        <v>17149.02896008929</v>
      </c>
      <c r="AC19" s="235">
        <f t="shared" si="5"/>
        <v>-857.45144800446451</v>
      </c>
      <c r="AD19" s="235">
        <f t="shared" si="6"/>
        <v>-23.114633797781533</v>
      </c>
      <c r="AE19" s="235">
        <f t="shared" si="7"/>
        <v>-15875.141854079424</v>
      </c>
      <c r="AF19" s="235">
        <f t="shared" si="8"/>
        <v>-366.43920503431235</v>
      </c>
      <c r="AG19" s="235">
        <f t="shared" si="33"/>
        <v>393.32102420762203</v>
      </c>
      <c r="AH19" s="235">
        <f t="shared" si="22"/>
        <v>3357.5555817773047</v>
      </c>
      <c r="AI19" s="235">
        <f t="shared" si="9"/>
        <v>3425.2961424209284</v>
      </c>
      <c r="AJ19" s="235">
        <f t="shared" si="10"/>
        <v>7176.1727484058556</v>
      </c>
      <c r="AK19" s="228"/>
      <c r="AL19" s="237">
        <f t="shared" si="27"/>
        <v>15</v>
      </c>
      <c r="AM19" s="236">
        <f t="shared" si="28"/>
        <v>0.93501924755548538</v>
      </c>
      <c r="AN19" s="236">
        <f t="shared" si="23"/>
        <v>9.0595041416698836E-3</v>
      </c>
      <c r="AO19" s="219">
        <f>IFERROR((1000*NPV($AL$2,$AN19:$AN$24)-$AO$2*($AM19+NPV($AL$2,$AM20:$AM$24)))/AM19,0)</f>
        <v>35.110646306895696</v>
      </c>
      <c r="AP19" s="220">
        <f>MAX(0,1000*NPV($AL$3,$AN19:$AN$24)-$AO$3*($AM19+NPV($AL$3,$AM20:$AM$24)))/AM19</f>
        <v>25.094468578739757</v>
      </c>
      <c r="AQ19" s="24"/>
      <c r="AR19" s="46"/>
      <c r="AS19" s="47"/>
      <c r="AT19" s="45"/>
      <c r="AU19" s="45"/>
      <c r="AV19" s="48"/>
      <c r="AW19" s="49"/>
      <c r="AY19" s="45"/>
    </row>
    <row r="20" spans="1:51">
      <c r="A20" s="33" t="s">
        <v>152</v>
      </c>
      <c r="B20" s="114">
        <f>'Inputs &amp; Results'!B13</f>
        <v>2177.5</v>
      </c>
      <c r="C20" s="26"/>
      <c r="D20" s="237">
        <f>D19+1</f>
        <v>16</v>
      </c>
      <c r="E20" s="224">
        <f t="shared" si="11"/>
        <v>21329.975932817371</v>
      </c>
      <c r="F20" s="224">
        <f t="shared" si="20"/>
        <v>1066.4987966408687</v>
      </c>
      <c r="G20" s="225">
        <v>28.75</v>
      </c>
      <c r="H20" s="224">
        <f t="shared" si="12"/>
        <v>2000000</v>
      </c>
      <c r="I20" s="224">
        <f t="shared" si="0"/>
        <v>24.314039841605169</v>
      </c>
      <c r="J20" s="226">
        <f t="shared" si="13"/>
        <v>32.739474214903368</v>
      </c>
      <c r="K20" s="226">
        <f t="shared" si="14"/>
        <v>48628.079683210337</v>
      </c>
      <c r="L20" s="227">
        <f t="shared" si="15"/>
        <v>65478.948429806733</v>
      </c>
      <c r="M20" s="227">
        <f t="shared" si="16"/>
        <v>20</v>
      </c>
      <c r="N20" s="238"/>
      <c r="O20" s="230">
        <v>1.0720349206507334E-2</v>
      </c>
      <c r="P20" s="226">
        <f t="shared" si="17"/>
        <v>10.720349206507334</v>
      </c>
      <c r="Q20" s="230">
        <v>8.4138780854095263E-3</v>
      </c>
      <c r="R20" s="232">
        <f>U19</f>
        <v>0.80398726253153152</v>
      </c>
      <c r="S20" s="232">
        <f t="shared" si="18"/>
        <v>8.6190242119219065E-3</v>
      </c>
      <c r="T20" s="232">
        <f t="shared" si="1"/>
        <v>6.7646508091624485E-3</v>
      </c>
      <c r="U20" s="233">
        <f t="shared" si="30"/>
        <v>0.78860358751044712</v>
      </c>
      <c r="V20" s="238"/>
      <c r="W20" s="235">
        <f>Y19</f>
        <v>56457.02481998779</v>
      </c>
      <c r="X20" s="235">
        <f>Z19</f>
        <v>16.07974525063063</v>
      </c>
      <c r="Y20" s="235">
        <f t="shared" si="2"/>
        <v>51636.933638157148</v>
      </c>
      <c r="Z20" s="235">
        <f t="shared" si="3"/>
        <v>15.772071750208942</v>
      </c>
      <c r="AA20" s="228"/>
      <c r="AB20" s="235">
        <f>$U20*E20</f>
        <v>16820.895542131275</v>
      </c>
      <c r="AC20" s="235">
        <f>-$U20*F20</f>
        <v>-841.04477710656386</v>
      </c>
      <c r="AD20" s="235">
        <f>-$U20*G20</f>
        <v>-22.672353140925356</v>
      </c>
      <c r="AE20" s="235">
        <f t="shared" si="7"/>
        <v>-17238.048423843815</v>
      </c>
      <c r="AF20" s="235">
        <f t="shared" si="8"/>
        <v>-328.95197857704483</v>
      </c>
      <c r="AG20" s="235">
        <f t="shared" si="33"/>
        <v>-1280.8700119600308</v>
      </c>
      <c r="AH20" s="235">
        <f>-H20*($U19*J20-$U18*J19)/1000</f>
        <v>4882.8701429169496</v>
      </c>
      <c r="AI20" s="235">
        <f t="shared" si="9"/>
        <v>3260.3829898618405</v>
      </c>
      <c r="AJ20" s="235">
        <f t="shared" si="10"/>
        <v>6862.3831208187594</v>
      </c>
      <c r="AK20" s="228"/>
      <c r="AL20" s="237">
        <f>AL19+1</f>
        <v>16</v>
      </c>
      <c r="AM20" s="236">
        <f>AM19-AN19</f>
        <v>0.92595974341381548</v>
      </c>
      <c r="AN20" s="236">
        <f t="shared" si="23"/>
        <v>9.9266118005640318E-3</v>
      </c>
      <c r="AO20" s="219">
        <f>IFERROR((1000*NPV($AL$2,$AN20:$AN$24)-$AO$2*($AM20+NPV($AL$2,$AM21:$AM$24)))/AM20,0)</f>
        <v>32.739474214903368</v>
      </c>
      <c r="AP20" s="220">
        <f>MAX(0,1000*NPV($AL$3,$AN20:$AN$24)-$AO$3*($AM20+NPV($AL$3,$AM21:$AM$24)))/AM20</f>
        <v>24.314039841605169</v>
      </c>
      <c r="AQ20" s="24"/>
      <c r="AR20" s="46"/>
      <c r="AS20" s="47"/>
      <c r="AT20" s="45"/>
      <c r="AU20" s="45"/>
      <c r="AV20" s="48"/>
      <c r="AW20" s="49"/>
      <c r="AY20" s="45"/>
    </row>
    <row r="21" spans="1:51">
      <c r="A21" s="33" t="s">
        <v>149</v>
      </c>
      <c r="B21" s="114">
        <f>'Inputs &amp; Results'!B14</f>
        <v>575</v>
      </c>
      <c r="C21" s="26"/>
      <c r="D21" s="237">
        <f>D20+1</f>
        <v>17</v>
      </c>
      <c r="E21" s="224">
        <f t="shared" si="11"/>
        <v>21329.975932817371</v>
      </c>
      <c r="F21" s="224">
        <f t="shared" si="20"/>
        <v>1066.4987966408687</v>
      </c>
      <c r="G21" s="225">
        <v>28.75</v>
      </c>
      <c r="H21" s="224">
        <f t="shared" si="12"/>
        <v>2000000</v>
      </c>
      <c r="I21" s="224">
        <f t="shared" si="0"/>
        <v>22.460751659686377</v>
      </c>
      <c r="J21" s="226">
        <f t="shared" si="13"/>
        <v>29.238445808123</v>
      </c>
      <c r="K21" s="226">
        <f t="shared" si="14"/>
        <v>44921.50331937275</v>
      </c>
      <c r="L21" s="227">
        <f t="shared" si="15"/>
        <v>58476.891616246001</v>
      </c>
      <c r="M21" s="227">
        <f t="shared" si="16"/>
        <v>20</v>
      </c>
      <c r="N21" s="238"/>
      <c r="O21" s="230">
        <v>1.1861346361714799E-2</v>
      </c>
      <c r="P21" s="226">
        <f t="shared" si="17"/>
        <v>11.8613463617148</v>
      </c>
      <c r="Q21" s="230">
        <v>8.2990429515927694E-3</v>
      </c>
      <c r="R21" s="232">
        <f>U20</f>
        <v>0.78860358751044712</v>
      </c>
      <c r="S21" s="232">
        <f t="shared" si="18"/>
        <v>9.3539002935522798E-3</v>
      </c>
      <c r="T21" s="232">
        <f t="shared" si="1"/>
        <v>6.544655044529348E-3</v>
      </c>
      <c r="U21" s="233">
        <f t="shared" si="30"/>
        <v>0.77270503217236552</v>
      </c>
      <c r="V21" s="238"/>
      <c r="W21" s="235">
        <f>Y20</f>
        <v>51636.933638157148</v>
      </c>
      <c r="X21" s="235">
        <f>Z20</f>
        <v>15.772071750208942</v>
      </c>
      <c r="Y21" s="235">
        <f t="shared" si="2"/>
        <v>45185.388417671296</v>
      </c>
      <c r="Z21" s="235">
        <f t="shared" si="3"/>
        <v>15.45410064344731</v>
      </c>
      <c r="AA21" s="228"/>
      <c r="AB21" s="235">
        <f t="shared" si="4"/>
        <v>16481.779739403428</v>
      </c>
      <c r="AC21" s="235">
        <f t="shared" si="5"/>
        <v>-824.08898697017162</v>
      </c>
      <c r="AD21" s="235">
        <f t="shared" si="6"/>
        <v>-22.215269674955508</v>
      </c>
      <c r="AE21" s="235">
        <f t="shared" si="7"/>
        <v>-18707.800587104561</v>
      </c>
      <c r="AF21" s="235">
        <f t="shared" si="8"/>
        <v>-293.9957433069747</v>
      </c>
      <c r="AG21" s="235">
        <f t="shared" si="33"/>
        <v>-3072.3251043462606</v>
      </c>
      <c r="AH21" s="235">
        <f>-H21*($U20*J21-$U19*J20)/1000</f>
        <v>6529.1539864924534</v>
      </c>
      <c r="AI21" s="235">
        <f t="shared" si="9"/>
        <v>3028.9678408053273</v>
      </c>
      <c r="AJ21" s="235">
        <f t="shared" si="10"/>
        <v>6485.7967229515198</v>
      </c>
      <c r="AK21" s="228"/>
      <c r="AL21" s="237">
        <f>AL20+1</f>
        <v>17</v>
      </c>
      <c r="AM21" s="236">
        <f>AM20-AN20</f>
        <v>0.91603313161325151</v>
      </c>
      <c r="AN21" s="236">
        <f t="shared" si="23"/>
        <v>1.0865386252871053E-2</v>
      </c>
      <c r="AO21" s="219">
        <f>IFERROR((1000*NPV($AL$2,$AN21:$AN$24)-$AO$2*($AM21+NPV($AL$2,$AM22:$AM$24)))/AM21,0)</f>
        <v>29.238445808123</v>
      </c>
      <c r="AP21" s="220">
        <f>MAX(0,1000*NPV($AL$3,$AN21:$AN$24)-$AO$3*($AM21+NPV($AL$3,$AM22:$AM$24)))/AM21</f>
        <v>22.460751659686377</v>
      </c>
      <c r="AQ21" s="24"/>
      <c r="AR21" s="46"/>
      <c r="AS21" s="47"/>
      <c r="AT21" s="45"/>
      <c r="AU21" s="45"/>
      <c r="AV21" s="48"/>
      <c r="AW21" s="49"/>
    </row>
    <row r="22" spans="1:51">
      <c r="A22" s="33" t="s">
        <v>150</v>
      </c>
      <c r="B22" s="114">
        <f>'Inputs &amp; Results'!B15</f>
        <v>28.75</v>
      </c>
      <c r="C22" s="26"/>
      <c r="D22" s="237">
        <f t="shared" si="24"/>
        <v>18</v>
      </c>
      <c r="E22" s="224">
        <f t="shared" si="11"/>
        <v>21329.975932817371</v>
      </c>
      <c r="F22" s="224">
        <f t="shared" si="20"/>
        <v>1066.4987966408687</v>
      </c>
      <c r="G22" s="225">
        <v>28.75</v>
      </c>
      <c r="H22" s="224">
        <f t="shared" si="12"/>
        <v>2000000</v>
      </c>
      <c r="I22" s="224">
        <f t="shared" si="0"/>
        <v>19.343926947937732</v>
      </c>
      <c r="J22" s="226">
        <f t="shared" si="13"/>
        <v>24.432737927670455</v>
      </c>
      <c r="K22" s="226">
        <f t="shared" si="14"/>
        <v>38687.853895875458</v>
      </c>
      <c r="L22" s="227">
        <f t="shared" si="15"/>
        <v>48865.475855340912</v>
      </c>
      <c r="M22" s="227">
        <f t="shared" si="16"/>
        <v>20</v>
      </c>
      <c r="N22" s="238"/>
      <c r="O22" s="230">
        <v>1.312378307855531E-2</v>
      </c>
      <c r="P22" s="226">
        <f t="shared" si="17"/>
        <v>13.123783078555309</v>
      </c>
      <c r="Q22" s="230">
        <v>7.7465602959879759E-3</v>
      </c>
      <c r="R22" s="232">
        <f t="shared" si="29"/>
        <v>0.77270503217236552</v>
      </c>
      <c r="S22" s="232">
        <f t="shared" si="18"/>
        <v>1.0140813225938227E-2</v>
      </c>
      <c r="T22" s="232">
        <f t="shared" si="1"/>
        <v>5.9858061227365585E-3</v>
      </c>
      <c r="U22" s="233">
        <f t="shared" si="30"/>
        <v>0.75657841282369076</v>
      </c>
      <c r="V22" s="238"/>
      <c r="W22" s="235">
        <f t="shared" si="31"/>
        <v>45185.388417671296</v>
      </c>
      <c r="X22" s="235">
        <f t="shared" si="32"/>
        <v>15.45410064344731</v>
      </c>
      <c r="Y22" s="235">
        <f t="shared" si="2"/>
        <v>36970.564164508207</v>
      </c>
      <c r="Z22" s="235">
        <f t="shared" si="3"/>
        <v>15.131568256473816</v>
      </c>
      <c r="AA22" s="238"/>
      <c r="AB22" s="235">
        <f t="shared" si="4"/>
        <v>16137.799336818489</v>
      </c>
      <c r="AC22" s="235">
        <f t="shared" si="5"/>
        <v>-806.88996684092456</v>
      </c>
      <c r="AD22" s="235">
        <f t="shared" si="6"/>
        <v>-21.751629368681108</v>
      </c>
      <c r="AE22" s="235">
        <f t="shared" si="7"/>
        <v>-20281.626451876455</v>
      </c>
      <c r="AF22" s="235">
        <f t="shared" si="8"/>
        <v>-231.57799272546873</v>
      </c>
      <c r="AG22" s="235">
        <f t="shared" si="33"/>
        <v>-4972.4687112675711</v>
      </c>
      <c r="AH22" s="235">
        <f>-H22*($U21*J22-$U20*J21)/1000</f>
        <v>8356.487422112039</v>
      </c>
      <c r="AI22" s="235">
        <f t="shared" si="9"/>
        <v>2723.9288349731537</v>
      </c>
      <c r="AJ22" s="235">
        <f t="shared" si="10"/>
        <v>6107.9475458176221</v>
      </c>
      <c r="AK22" s="228"/>
      <c r="AL22" s="237">
        <f t="shared" si="27"/>
        <v>18</v>
      </c>
      <c r="AM22" s="236">
        <f t="shared" si="28"/>
        <v>0.90516774536038047</v>
      </c>
      <c r="AN22" s="236">
        <f t="shared" si="23"/>
        <v>1.1879225139814624E-2</v>
      </c>
      <c r="AO22" s="219">
        <f>IFERROR((1000*NPV($AL$2,$AN22:$AN$24)-$AO$2*($AM22+NPV($AL$2,$AM23:$AM$24)))/AM22,0)</f>
        <v>24.432737927670455</v>
      </c>
      <c r="AP22" s="220">
        <f>MAX(0,1000*NPV($AL$3,$AN22:$AN$24)-$AO$3*($AM22+NPV($AL$3,$AM23:$AM$24)))/AM22</f>
        <v>19.343926947937732</v>
      </c>
      <c r="AQ22" s="24"/>
      <c r="AR22" s="46"/>
      <c r="AS22" s="47"/>
      <c r="AT22" s="45"/>
      <c r="AU22" s="45"/>
      <c r="AV22" s="48"/>
      <c r="AW22" s="49"/>
    </row>
    <row r="23" spans="1:51">
      <c r="B23" s="25"/>
      <c r="C23" s="26"/>
      <c r="D23" s="237">
        <f t="shared" si="24"/>
        <v>19</v>
      </c>
      <c r="E23" s="224">
        <f t="shared" si="11"/>
        <v>21329.975932817371</v>
      </c>
      <c r="F23" s="224">
        <f t="shared" si="20"/>
        <v>1066.4987966408687</v>
      </c>
      <c r="G23" s="225">
        <v>28.75</v>
      </c>
      <c r="H23" s="224">
        <f t="shared" si="12"/>
        <v>2000000</v>
      </c>
      <c r="I23" s="224">
        <f t="shared" si="0"/>
        <v>14.741677598130307</v>
      </c>
      <c r="J23" s="226">
        <f t="shared" si="13"/>
        <v>18.120367622009105</v>
      </c>
      <c r="K23" s="226">
        <f t="shared" si="14"/>
        <v>29483.355196260618</v>
      </c>
      <c r="L23" s="227">
        <f t="shared" si="15"/>
        <v>36240.735244018215</v>
      </c>
      <c r="M23" s="227">
        <f t="shared" si="16"/>
        <v>20</v>
      </c>
      <c r="N23" s="238"/>
      <c r="O23" s="230">
        <v>1.4520584513820312E-2</v>
      </c>
      <c r="P23" s="226">
        <f t="shared" si="17"/>
        <v>14.520584513820312</v>
      </c>
      <c r="Q23" s="230">
        <v>0.77299862805443287</v>
      </c>
      <c r="R23" s="232">
        <f t="shared" si="29"/>
        <v>0.75657841282369076</v>
      </c>
      <c r="S23" s="232">
        <f t="shared" si="18"/>
        <v>1.0985960784738435E-2</v>
      </c>
      <c r="T23" s="232">
        <f t="shared" si="1"/>
        <v>0.58483407512831331</v>
      </c>
      <c r="U23" s="233">
        <f t="shared" si="30"/>
        <v>0.16075837691063899</v>
      </c>
      <c r="V23" s="238"/>
      <c r="W23" s="235">
        <f t="shared" si="31"/>
        <v>36970.564164508207</v>
      </c>
      <c r="X23" s="235">
        <f t="shared" si="32"/>
        <v>15.131568256473816</v>
      </c>
      <c r="Y23" s="235">
        <f t="shared" si="2"/>
        <v>5826.0017758765589</v>
      </c>
      <c r="Z23" s="235">
        <f t="shared" si="3"/>
        <v>3.2151675382127798</v>
      </c>
      <c r="AA23" s="228"/>
      <c r="AB23" s="235">
        <f t="shared" si="4"/>
        <v>3428.9723105027133</v>
      </c>
      <c r="AC23" s="235">
        <f t="shared" si="5"/>
        <v>-171.44861552513569</v>
      </c>
      <c r="AD23" s="235">
        <f t="shared" si="6"/>
        <v>-4.6218033361808706</v>
      </c>
      <c r="AE23" s="235">
        <f t="shared" si="7"/>
        <v>-21971.921569476872</v>
      </c>
      <c r="AF23" s="235">
        <f t="shared" si="8"/>
        <v>-17242.870767884629</v>
      </c>
      <c r="AG23" s="235">
        <f t="shared" si="33"/>
        <v>-18719.019677835477</v>
      </c>
      <c r="AH23" s="235">
        <f t="shared" si="22"/>
        <v>10339.64114243626</v>
      </c>
      <c r="AI23" s="235">
        <f t="shared" si="9"/>
        <v>1810.9448742484017</v>
      </c>
      <c r="AJ23" s="235">
        <f t="shared" si="10"/>
        <v>-6568.4336611508152</v>
      </c>
      <c r="AK23" s="228"/>
      <c r="AL23" s="237">
        <f t="shared" si="27"/>
        <v>19</v>
      </c>
      <c r="AM23" s="236">
        <f t="shared" si="28"/>
        <v>0.89328852022056582</v>
      </c>
      <c r="AN23" s="236">
        <f t="shared" si="23"/>
        <v>1.2971071453088212E-2</v>
      </c>
      <c r="AO23" s="219">
        <f>IFERROR((1000*NPV($AL$2,$AN23:$AN$24)-$AO$2*($AM23+NPV($AL$2,$AM24:$AM$24)))/AM23,0)</f>
        <v>18.120367622009105</v>
      </c>
      <c r="AP23" s="220">
        <f>MAX(0,1000*NPV($AL$3,$AN23:$AN$24)-$AO$3*($AM23+NPV($AL$3,$AM24:$AM$24)))/AM23</f>
        <v>14.741677598130307</v>
      </c>
      <c r="AQ23" s="24"/>
      <c r="AR23" s="46"/>
      <c r="AS23" s="47"/>
      <c r="AT23" s="45"/>
      <c r="AU23" s="45"/>
      <c r="AV23" s="48"/>
      <c r="AW23" s="49"/>
    </row>
    <row r="24" spans="1:51">
      <c r="B24" s="195"/>
      <c r="C24" s="26"/>
      <c r="D24" s="237">
        <f>D23+1</f>
        <v>20</v>
      </c>
      <c r="E24" s="224">
        <f t="shared" si="11"/>
        <v>21329.975932817371</v>
      </c>
      <c r="F24" s="224">
        <f t="shared" si="20"/>
        <v>1066.4987966408687</v>
      </c>
      <c r="G24" s="225">
        <v>28.75</v>
      </c>
      <c r="H24" s="224">
        <f t="shared" si="12"/>
        <v>2000000</v>
      </c>
      <c r="I24" s="224">
        <f t="shared" si="0"/>
        <v>0</v>
      </c>
      <c r="J24" s="226">
        <f t="shared" si="13"/>
        <v>4.8929833227587638</v>
      </c>
      <c r="K24" s="226">
        <f t="shared" si="14"/>
        <v>0</v>
      </c>
      <c r="L24" s="227">
        <f t="shared" si="15"/>
        <v>9785.9666455175284</v>
      </c>
      <c r="M24" s="227">
        <f t="shared" si="16"/>
        <v>20</v>
      </c>
      <c r="N24" s="238"/>
      <c r="O24" s="230">
        <v>1.6066051485377694E-2</v>
      </c>
      <c r="P24" s="226">
        <f t="shared" si="17"/>
        <v>16.066051485377695</v>
      </c>
      <c r="Q24" s="239">
        <v>0</v>
      </c>
      <c r="R24" s="232">
        <f>U23</f>
        <v>0.16075837691063899</v>
      </c>
      <c r="S24" s="232">
        <f t="shared" si="18"/>
        <v>2.582752360152079E-3</v>
      </c>
      <c r="T24" s="232">
        <f t="shared" si="1"/>
        <v>0</v>
      </c>
      <c r="U24" s="233">
        <f t="shared" si="30"/>
        <v>0.15817562455048692</v>
      </c>
      <c r="V24" s="238"/>
      <c r="W24" s="235">
        <f>Y23</f>
        <v>5826.0017758765589</v>
      </c>
      <c r="X24" s="235">
        <f>Z23</f>
        <v>3.2151675382127798</v>
      </c>
      <c r="Y24" s="235">
        <f t="shared" si="2"/>
        <v>1547.9013859849686</v>
      </c>
      <c r="Z24" s="235">
        <f t="shared" si="3"/>
        <v>3.1635124910097385</v>
      </c>
      <c r="AA24" s="228"/>
      <c r="AB24" s="235">
        <f t="shared" si="4"/>
        <v>3373.8822648202427</v>
      </c>
      <c r="AC24" s="235">
        <f t="shared" si="5"/>
        <v>-168.69411324101216</v>
      </c>
      <c r="AD24" s="235">
        <f t="shared" si="6"/>
        <v>-4.547549205826499</v>
      </c>
      <c r="AE24" s="235">
        <f t="shared" si="7"/>
        <v>-5165.5047203041577</v>
      </c>
      <c r="AF24" s="235">
        <f t="shared" si="8"/>
        <v>0</v>
      </c>
      <c r="AG24" s="235">
        <f t="shared" si="33"/>
        <v>-1964.8641179307533</v>
      </c>
      <c r="AH24" s="235">
        <f t="shared" si="22"/>
        <v>25845.781836047841</v>
      </c>
      <c r="AI24" s="235">
        <f t="shared" si="9"/>
        <v>406.54822927473009</v>
      </c>
      <c r="AJ24" s="235">
        <f t="shared" si="10"/>
        <v>24287.465947391818</v>
      </c>
      <c r="AK24" s="228"/>
      <c r="AL24" s="237">
        <f>AL23+1</f>
        <v>20</v>
      </c>
      <c r="AM24" s="236">
        <f>AM23-AN23</f>
        <v>0.88031744876747764</v>
      </c>
      <c r="AN24" s="236">
        <f t="shared" si="23"/>
        <v>1.4143225455374636E-2</v>
      </c>
      <c r="AO24" s="219">
        <f>IFERROR((1000*NPV($AL$2,$AN24:$AN$24)-$AO$2*($AM24+NPV($AL$2,$AM$24:$AM25)))/AM24,0)</f>
        <v>4.8929833227587638</v>
      </c>
      <c r="AP24" s="240"/>
      <c r="AQ24" s="24"/>
      <c r="AR24" s="46"/>
      <c r="AS24" s="47"/>
      <c r="AT24" s="45"/>
      <c r="AU24" s="45"/>
      <c r="AV24" s="48"/>
      <c r="AW24" s="49"/>
    </row>
    <row r="25" spans="1:51">
      <c r="B25" s="25"/>
      <c r="C25" s="26"/>
      <c r="D25" s="25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23"/>
      <c r="X25" s="23"/>
      <c r="Y25" s="23"/>
      <c r="AF25" s="23">
        <f t="shared" si="8"/>
        <v>0</v>
      </c>
      <c r="AL25" s="25"/>
      <c r="AM25" s="30"/>
      <c r="AN25" s="30"/>
      <c r="AO25" s="28"/>
      <c r="AP25" s="43"/>
      <c r="AQ25" s="24"/>
      <c r="AS25" s="44"/>
      <c r="AT25" s="45"/>
      <c r="AU25" s="45"/>
      <c r="AV25" s="48"/>
      <c r="AW25" s="49"/>
    </row>
    <row r="26" spans="1:51">
      <c r="B26" s="25"/>
      <c r="C26" s="26"/>
      <c r="D26" s="25"/>
      <c r="Z26" s="23"/>
      <c r="AA26" s="55" t="s">
        <v>153</v>
      </c>
      <c r="AB26" s="84">
        <f t="shared" ref="AB26:AJ26" si="34">SUM(AB5:AB24)</f>
        <v>344009.45082118548</v>
      </c>
      <c r="AC26" s="84">
        <f t="shared" si="34"/>
        <v>-35108.831344460596</v>
      </c>
      <c r="AD26" s="84">
        <f t="shared" si="34"/>
        <v>-1003.2372231394688</v>
      </c>
      <c r="AE26" s="84">
        <f t="shared" si="34"/>
        <v>-224676.67015865154</v>
      </c>
      <c r="AF26" s="84">
        <f t="shared" si="34"/>
        <v>-20840.392744419198</v>
      </c>
      <c r="AG26" s="84">
        <f t="shared" si="34"/>
        <v>83220.71209493377</v>
      </c>
      <c r="AH26" s="84">
        <f t="shared" si="34"/>
        <v>-1573.176114435053</v>
      </c>
      <c r="AI26" s="84">
        <f t="shared" si="34"/>
        <v>52898.270905271362</v>
      </c>
      <c r="AJ26" s="84">
        <f t="shared" si="34"/>
        <v>134545.80688577011</v>
      </c>
      <c r="AL26" s="25"/>
      <c r="AM26" s="30"/>
      <c r="AN26" s="30"/>
      <c r="AO26" s="28"/>
      <c r="AP26" s="28"/>
      <c r="AQ26" s="24"/>
      <c r="AS26" s="45"/>
      <c r="AT26" s="45"/>
      <c r="AU26" s="45"/>
      <c r="AV26" s="48"/>
      <c r="AW26" s="49"/>
    </row>
    <row r="27" spans="1:51">
      <c r="B27" s="25"/>
      <c r="AA27" s="55" t="str">
        <f>"Present Value at "&amp;TEXT($B$13,"0.00%")&amp;":"</f>
        <v>Present Value at 4.50%:</v>
      </c>
      <c r="AB27" s="84">
        <f t="shared" ref="AB27:AJ27" si="35">AB5+NPV($B$13,AB6:AB24)</f>
        <v>245332.83179530731</v>
      </c>
      <c r="AC27" s="84">
        <f t="shared" si="35"/>
        <v>-30175.000393166694</v>
      </c>
      <c r="AD27" s="84">
        <f t="shared" si="35"/>
        <v>-870.23412899958362</v>
      </c>
      <c r="AE27" s="84">
        <f t="shared" si="35"/>
        <v>-138894.31892852811</v>
      </c>
      <c r="AF27" s="84">
        <f t="shared" si="35"/>
        <v>-9979.8226371583532</v>
      </c>
      <c r="AG27" s="84">
        <f t="shared" si="35"/>
        <v>75393.278344612947</v>
      </c>
      <c r="AH27" s="84">
        <f t="shared" si="35"/>
        <v>-26643.487846557353</v>
      </c>
      <c r="AI27" s="84">
        <f t="shared" si="35"/>
        <v>34856.15069152887</v>
      </c>
      <c r="AJ27" s="84">
        <f t="shared" si="35"/>
        <v>83605.941189584468</v>
      </c>
      <c r="AL27" s="25"/>
      <c r="AM27" s="30"/>
      <c r="AN27" s="30"/>
      <c r="AO27" s="28"/>
      <c r="AP27" s="28"/>
      <c r="AQ27" s="24"/>
      <c r="AS27" s="45"/>
      <c r="AT27" s="45"/>
      <c r="AU27" s="45"/>
      <c r="AV27" s="48"/>
      <c r="AW27" s="49"/>
    </row>
    <row r="28" spans="1:51">
      <c r="B28" s="25"/>
      <c r="AA28" s="55" t="str">
        <f>"Present Value at "&amp;TEXT(B14,"0.00%")&amp;":"</f>
        <v>Present Value at 10.83%:</v>
      </c>
      <c r="AB28" s="109">
        <f t="shared" ref="AB28:AJ28" si="36">AB5+NPV($B$14,AB6:AB24)</f>
        <v>169046.98652764238</v>
      </c>
      <c r="AC28" s="84">
        <f t="shared" si="36"/>
        <v>-26360.708129783441</v>
      </c>
      <c r="AD28" s="84">
        <f t="shared" si="36"/>
        <v>-767.41085070085001</v>
      </c>
      <c r="AE28" s="84">
        <f t="shared" si="36"/>
        <v>-80055.635110548959</v>
      </c>
      <c r="AF28" s="84">
        <f t="shared" si="36"/>
        <v>-3853.597530280213</v>
      </c>
      <c r="AG28" s="84">
        <f t="shared" si="36"/>
        <v>61863.232436609134</v>
      </c>
      <c r="AH28" s="84">
        <f t="shared" si="36"/>
        <v>-37062.242033180053</v>
      </c>
      <c r="AI28" s="84">
        <f t="shared" si="36"/>
        <v>21385.295871251776</v>
      </c>
      <c r="AJ28" s="109">
        <f t="shared" si="36"/>
        <v>46186.286274680824</v>
      </c>
      <c r="AL28" s="25"/>
      <c r="AM28" s="30"/>
      <c r="AN28" s="30"/>
      <c r="AO28" s="28"/>
      <c r="AP28" s="28"/>
      <c r="AQ28" s="24"/>
      <c r="AS28" s="45"/>
      <c r="AT28" s="45"/>
      <c r="AU28" s="45"/>
      <c r="AV28" s="48"/>
      <c r="AW28" s="49"/>
    </row>
    <row r="29" spans="1:51">
      <c r="A29" s="196"/>
      <c r="B29" s="197"/>
      <c r="C29" s="197"/>
      <c r="AF29" s="38"/>
      <c r="AL29" s="25"/>
      <c r="AM29" s="30"/>
      <c r="AN29" s="30"/>
      <c r="AO29" s="28"/>
      <c r="AP29" s="28"/>
      <c r="AQ29" s="24"/>
      <c r="AS29" s="45"/>
      <c r="AT29" s="45"/>
      <c r="AU29" s="45"/>
      <c r="AV29" s="48"/>
      <c r="AW29" s="49"/>
    </row>
    <row r="30" spans="1:51">
      <c r="A30" s="196"/>
      <c r="B30" s="198"/>
      <c r="C30" s="198"/>
      <c r="AF30" s="38"/>
      <c r="AL30" s="25"/>
      <c r="AM30" s="30"/>
      <c r="AN30" s="30"/>
      <c r="AO30" s="28"/>
      <c r="AP30" s="28"/>
      <c r="AQ30" s="24"/>
      <c r="AS30" s="45"/>
      <c r="AT30" s="45"/>
      <c r="AU30" s="45"/>
      <c r="AV30" s="48"/>
      <c r="AW30" s="49"/>
    </row>
    <row r="31" spans="1:51">
      <c r="A31" s="196"/>
      <c r="B31" s="198"/>
      <c r="C31" s="198"/>
      <c r="AF31" s="38"/>
      <c r="AL31" s="25"/>
      <c r="AM31" s="30"/>
      <c r="AN31" s="30"/>
      <c r="AO31" s="28"/>
      <c r="AP31" s="28"/>
      <c r="AQ31" s="24"/>
      <c r="AS31" s="45"/>
      <c r="AT31" s="45"/>
      <c r="AU31" s="45"/>
      <c r="AV31" s="48"/>
      <c r="AW31" s="49"/>
    </row>
    <row r="32" spans="1:51">
      <c r="B32" s="25"/>
      <c r="E32" s="48"/>
      <c r="AF32" s="38"/>
      <c r="AL32" s="25"/>
      <c r="AM32" s="30"/>
      <c r="AN32" s="30"/>
      <c r="AO32" s="28"/>
      <c r="AP32" s="28"/>
      <c r="AQ32" s="24"/>
      <c r="AS32" s="45"/>
      <c r="AT32" s="45"/>
      <c r="AU32" s="45"/>
      <c r="AV32" s="48"/>
      <c r="AW32" s="49"/>
    </row>
    <row r="33" spans="5:48">
      <c r="E33" s="49"/>
      <c r="AE33" s="38"/>
      <c r="AK33" s="25"/>
      <c r="AL33" s="30"/>
      <c r="AM33" s="30"/>
      <c r="AN33" s="28"/>
      <c r="AO33" s="28"/>
      <c r="AP33" s="24"/>
      <c r="AR33" s="45"/>
      <c r="AS33" s="45"/>
      <c r="AT33" s="45"/>
      <c r="AU33" s="48"/>
      <c r="AV33" s="49"/>
    </row>
    <row r="34" spans="5:48">
      <c r="AE34" s="38"/>
      <c r="AJ34" s="25"/>
      <c r="AK34" s="30"/>
      <c r="AL34" s="30"/>
      <c r="AM34" s="28"/>
      <c r="AN34" s="28"/>
      <c r="AP34" s="24"/>
      <c r="AR34" s="45"/>
      <c r="AS34" s="45"/>
      <c r="AT34" s="45"/>
      <c r="AU34" s="48"/>
      <c r="AV34" s="49"/>
    </row>
    <row r="35" spans="5:48">
      <c r="AJ35" s="25"/>
      <c r="AK35" s="30"/>
      <c r="AL35" s="30"/>
      <c r="AM35" s="28"/>
      <c r="AN35" s="28"/>
      <c r="AP35" s="24"/>
      <c r="AQ35" s="29"/>
      <c r="AR35" s="29"/>
      <c r="AS35" s="29"/>
      <c r="AT35" s="45"/>
      <c r="AU35" s="48"/>
      <c r="AV35" s="49"/>
    </row>
    <row r="36" spans="5:48">
      <c r="AJ36" s="25"/>
      <c r="AK36" s="30"/>
      <c r="AL36" s="30"/>
      <c r="AM36" s="28"/>
      <c r="AN36" s="28"/>
      <c r="AQ36" s="29"/>
      <c r="AR36" s="29"/>
      <c r="AS36" s="29"/>
    </row>
    <row r="37" spans="5:48">
      <c r="AJ37" s="25"/>
      <c r="AK37" s="30"/>
      <c r="AL37" s="30"/>
      <c r="AM37" s="28"/>
      <c r="AN37" s="28"/>
      <c r="AQ37" s="50"/>
      <c r="AR37" s="45"/>
      <c r="AS37" s="29"/>
    </row>
    <row r="38" spans="5:48">
      <c r="AJ38" s="25"/>
      <c r="AK38" s="30"/>
      <c r="AL38" s="30"/>
      <c r="AM38" s="28"/>
      <c r="AN38" s="28"/>
      <c r="AR38" s="45"/>
      <c r="AS38" s="44"/>
    </row>
    <row r="39" spans="5:48">
      <c r="AJ39" s="25"/>
      <c r="AK39" s="30"/>
      <c r="AL39" s="30"/>
      <c r="AM39" s="28"/>
      <c r="AN39" s="28"/>
      <c r="AR39" s="45"/>
      <c r="AS39" s="44"/>
    </row>
    <row r="40" spans="5:48">
      <c r="AJ40" s="25"/>
      <c r="AK40" s="30"/>
      <c r="AL40" s="30"/>
      <c r="AM40" s="28"/>
      <c r="AN40" s="28"/>
      <c r="AR40" s="45"/>
      <c r="AS40" s="44"/>
    </row>
    <row r="41" spans="5:48">
      <c r="AJ41" s="25"/>
      <c r="AK41" s="30"/>
      <c r="AL41" s="30"/>
      <c r="AM41" s="28"/>
      <c r="AN41" s="28"/>
      <c r="AR41" s="45"/>
      <c r="AS41" s="44"/>
    </row>
    <row r="42" spans="5:48">
      <c r="AJ42" s="25"/>
      <c r="AK42" s="30"/>
      <c r="AL42" s="30"/>
      <c r="AM42" s="28"/>
      <c r="AN42" s="28"/>
      <c r="AR42" s="45"/>
      <c r="AS42" s="44"/>
    </row>
    <row r="43" spans="5:48">
      <c r="AJ43" s="25"/>
      <c r="AK43" s="30"/>
      <c r="AL43" s="30"/>
      <c r="AM43" s="28"/>
      <c r="AN43" s="28"/>
      <c r="AR43" s="45"/>
      <c r="AS43" s="44"/>
    </row>
    <row r="44" spans="5:48">
      <c r="AJ44" s="25"/>
      <c r="AK44" s="30"/>
      <c r="AL44" s="30"/>
      <c r="AM44" s="28"/>
      <c r="AN44" s="28"/>
      <c r="AR44" s="45"/>
      <c r="AS44" s="44"/>
    </row>
    <row r="45" spans="5:48">
      <c r="AJ45" s="25"/>
      <c r="AK45" s="30"/>
      <c r="AL45" s="30"/>
      <c r="AM45" s="28"/>
      <c r="AN45" s="28"/>
      <c r="AR45" s="45"/>
      <c r="AS45" s="44"/>
    </row>
    <row r="46" spans="5:48">
      <c r="AJ46" s="25"/>
      <c r="AK46" s="30"/>
      <c r="AL46" s="30"/>
      <c r="AM46" s="28"/>
      <c r="AN46" s="28"/>
    </row>
    <row r="47" spans="5:48">
      <c r="AJ47" s="25"/>
      <c r="AK47" s="30"/>
      <c r="AL47" s="30"/>
      <c r="AM47" s="28"/>
      <c r="AN47" s="28"/>
    </row>
    <row r="48" spans="5:48">
      <c r="AJ48" s="25"/>
      <c r="AK48" s="30"/>
      <c r="AL48" s="30"/>
      <c r="AM48" s="28"/>
      <c r="AN48" s="28"/>
    </row>
    <row r="49" spans="2:40">
      <c r="AJ49" s="25"/>
      <c r="AK49" s="30"/>
      <c r="AL49" s="30"/>
      <c r="AM49" s="28"/>
      <c r="AN49" s="28"/>
    </row>
    <row r="50" spans="2:40">
      <c r="AJ50" s="25"/>
      <c r="AK50" s="30"/>
      <c r="AL50" s="30"/>
      <c r="AM50" s="28"/>
      <c r="AN50" s="28"/>
    </row>
    <row r="51" spans="2:40">
      <c r="AJ51" s="25"/>
      <c r="AK51" s="30"/>
      <c r="AL51" s="30"/>
      <c r="AM51" s="28"/>
      <c r="AN51" s="28"/>
    </row>
    <row r="52" spans="2:40">
      <c r="AJ52" s="30"/>
      <c r="AK52" s="30"/>
      <c r="AL52" s="28"/>
      <c r="AM52" s="28"/>
    </row>
    <row r="53" spans="2:40">
      <c r="AJ53" s="30"/>
      <c r="AK53" s="30"/>
      <c r="AL53" s="28"/>
      <c r="AM53" s="28"/>
    </row>
    <row r="54" spans="2:40">
      <c r="AJ54" s="30"/>
      <c r="AK54" s="30"/>
      <c r="AL54" s="28"/>
      <c r="AM54" s="28"/>
    </row>
    <row r="55" spans="2:40">
      <c r="B55" s="62" t="s">
        <v>141</v>
      </c>
      <c r="AJ55" s="30"/>
      <c r="AK55" s="30"/>
      <c r="AL55" s="28"/>
      <c r="AM55" s="28"/>
    </row>
    <row r="56" spans="2:40">
      <c r="AJ56" s="30"/>
      <c r="AK56" s="30"/>
      <c r="AL56" s="28"/>
      <c r="AM56" s="28"/>
    </row>
    <row r="57" spans="2:40">
      <c r="AJ57" s="30"/>
      <c r="AK57" s="30"/>
      <c r="AL57" s="28"/>
      <c r="AM57" s="28"/>
    </row>
    <row r="58" spans="2:40">
      <c r="AJ58" s="30"/>
      <c r="AK58" s="30"/>
      <c r="AL58" s="28"/>
      <c r="AM58" s="28"/>
    </row>
    <row r="59" spans="2:40">
      <c r="AJ59" s="30"/>
      <c r="AK59" s="30"/>
      <c r="AL59" s="28"/>
      <c r="AM59" s="28"/>
    </row>
    <row r="60" spans="2:40">
      <c r="AJ60" s="30"/>
      <c r="AK60" s="30"/>
      <c r="AL60" s="28"/>
      <c r="AM60" s="28"/>
    </row>
    <row r="61" spans="2:40">
      <c r="AJ61" s="30"/>
      <c r="AK61" s="30"/>
      <c r="AL61" s="28"/>
      <c r="AM61" s="28"/>
    </row>
    <row r="62" spans="2:40">
      <c r="AJ62" s="30"/>
      <c r="AK62" s="30"/>
      <c r="AL62" s="28"/>
      <c r="AM62" s="28"/>
    </row>
    <row r="63" spans="2:40">
      <c r="AJ63" s="30"/>
      <c r="AK63" s="30"/>
      <c r="AL63" s="28"/>
      <c r="AM63" s="28"/>
    </row>
    <row r="64" spans="2:40">
      <c r="AJ64" s="30"/>
      <c r="AK64" s="30"/>
      <c r="AL64" s="28"/>
      <c r="AM64" s="28"/>
    </row>
    <row r="65" spans="36:39">
      <c r="AJ65" s="30"/>
      <c r="AK65" s="30"/>
      <c r="AL65" s="28"/>
      <c r="AM65" s="28"/>
    </row>
    <row r="66" spans="36:39">
      <c r="AJ66" s="30"/>
      <c r="AK66" s="30"/>
      <c r="AL66" s="28"/>
      <c r="AM66" s="28"/>
    </row>
    <row r="67" spans="36:39">
      <c r="AJ67" s="30"/>
      <c r="AK67" s="30"/>
      <c r="AL67" s="28"/>
      <c r="AM67" s="28"/>
    </row>
    <row r="68" spans="36:39">
      <c r="AJ68" s="30"/>
      <c r="AK68" s="30"/>
      <c r="AL68" s="28"/>
      <c r="AM68" s="28"/>
    </row>
    <row r="69" spans="36:39">
      <c r="AJ69" s="30"/>
      <c r="AK69" s="30"/>
      <c r="AL69" s="28"/>
      <c r="AM69" s="28"/>
    </row>
    <row r="70" spans="36:39">
      <c r="AJ70" s="30"/>
      <c r="AK70" s="30"/>
      <c r="AL70" s="28"/>
      <c r="AM70" s="28"/>
    </row>
    <row r="71" spans="36:39">
      <c r="AJ71" s="30"/>
      <c r="AK71" s="30"/>
      <c r="AL71" s="28"/>
      <c r="AM71" s="28"/>
    </row>
    <row r="72" spans="36:39">
      <c r="AJ72" s="30"/>
      <c r="AK72" s="30"/>
      <c r="AL72" s="28"/>
      <c r="AM72" s="28"/>
    </row>
    <row r="73" spans="36:39">
      <c r="AJ73" s="30"/>
      <c r="AK73" s="30"/>
      <c r="AL73" s="28"/>
      <c r="AM73" s="28"/>
    </row>
    <row r="74" spans="36:39">
      <c r="AJ74" s="30"/>
      <c r="AK74" s="30"/>
      <c r="AL74" s="28"/>
      <c r="AM74" s="28"/>
    </row>
    <row r="75" spans="36:39">
      <c r="AJ75" s="30"/>
      <c r="AK75" s="30"/>
      <c r="AL75" s="28"/>
      <c r="AM75" s="28"/>
    </row>
    <row r="76" spans="36:39">
      <c r="AJ76" s="30"/>
      <c r="AK76" s="30"/>
      <c r="AL76" s="28"/>
      <c r="AM76" s="28"/>
    </row>
    <row r="77" spans="36:39">
      <c r="AJ77" s="30"/>
      <c r="AK77" s="30"/>
      <c r="AL77" s="28"/>
      <c r="AM77" s="28"/>
    </row>
    <row r="78" spans="36:39">
      <c r="AJ78" s="30"/>
      <c r="AK78" s="30"/>
      <c r="AL78" s="28"/>
      <c r="AM78" s="28"/>
    </row>
    <row r="79" spans="36:39">
      <c r="AJ79" s="30"/>
      <c r="AK79" s="30"/>
      <c r="AL79" s="28"/>
      <c r="AM79" s="28"/>
    </row>
    <row r="80" spans="36:39">
      <c r="AJ80" s="30"/>
      <c r="AK80" s="30"/>
      <c r="AL80" s="28"/>
      <c r="AM80" s="28"/>
    </row>
  </sheetData>
  <mergeCells count="5">
    <mergeCell ref="W3:Z3"/>
    <mergeCell ref="A1:XFD1"/>
    <mergeCell ref="AB2:AJ2"/>
    <mergeCell ref="D3:M3"/>
    <mergeCell ref="O3:U3"/>
  </mergeCells>
  <hyperlinks>
    <hyperlink ref="A1" location="Contents!A1" display="Back to Contents" xr:uid="{A58FD604-A0DD-1E45-BB23-B523BDCAC7A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492B8-1EB6-D84F-9EF5-C0826B01BFC4}">
  <sheetPr codeName="Sheet7">
    <tabColor theme="4"/>
  </sheetPr>
  <dimension ref="A1:AI97"/>
  <sheetViews>
    <sheetView showGridLines="0" zoomScale="80" zoomScaleNormal="80" workbookViewId="0">
      <selection activeCell="AC104" sqref="AC104"/>
    </sheetView>
  </sheetViews>
  <sheetFormatPr defaultColWidth="10.625" defaultRowHeight="15.75"/>
  <cols>
    <col min="1" max="1" width="35.875" customWidth="1"/>
    <col min="2" max="2" width="15.625" customWidth="1"/>
    <col min="6" max="6" width="12.875" customWidth="1"/>
    <col min="12" max="12" width="14" customWidth="1"/>
    <col min="13" max="13" width="13.875" customWidth="1"/>
    <col min="14" max="14" width="13.125" bestFit="1" customWidth="1"/>
    <col min="15" max="15" width="12.375" customWidth="1"/>
    <col min="16" max="16" width="13.125" bestFit="1" customWidth="1"/>
    <col min="17" max="17" width="12.5" bestFit="1" customWidth="1"/>
    <col min="18" max="18" width="10.5" bestFit="1" customWidth="1"/>
    <col min="19" max="19" width="12.5" bestFit="1" customWidth="1"/>
    <col min="20" max="20" width="10.5" bestFit="1" customWidth="1"/>
    <col min="22" max="22" width="12.5" bestFit="1" customWidth="1"/>
    <col min="23" max="23" width="14.875" bestFit="1" customWidth="1"/>
    <col min="24" max="24" width="13.625" bestFit="1" customWidth="1"/>
    <col min="25" max="25" width="13.125" bestFit="1" customWidth="1"/>
    <col min="26" max="27" width="16.5" bestFit="1" customWidth="1"/>
    <col min="28" max="28" width="15.5" bestFit="1" customWidth="1"/>
    <col min="29" max="29" width="14.875" bestFit="1" customWidth="1"/>
    <col min="30" max="30" width="15.5" bestFit="1" customWidth="1"/>
    <col min="31" max="31" width="11.125" bestFit="1" customWidth="1"/>
    <col min="252" max="252" width="12.625" customWidth="1"/>
    <col min="256" max="256" width="12.875" customWidth="1"/>
    <col min="263" max="263" width="5.625" customWidth="1"/>
    <col min="270" max="270" width="5.625" customWidth="1"/>
    <col min="275" max="275" width="5.625" customWidth="1"/>
    <col min="277" max="277" width="11.375" bestFit="1" customWidth="1"/>
    <col min="280" max="280" width="11.625" customWidth="1"/>
    <col min="284" max="284" width="11.125" bestFit="1" customWidth="1"/>
    <col min="285" max="285" width="12.125" bestFit="1" customWidth="1"/>
    <col min="508" max="508" width="12.625" customWidth="1"/>
    <col min="512" max="512" width="12.875" customWidth="1"/>
    <col min="519" max="519" width="5.625" customWidth="1"/>
    <col min="526" max="526" width="5.625" customWidth="1"/>
    <col min="531" max="531" width="5.625" customWidth="1"/>
    <col min="533" max="533" width="11.375" bestFit="1" customWidth="1"/>
    <col min="536" max="536" width="11.625" customWidth="1"/>
    <col min="540" max="540" width="11.125" bestFit="1" customWidth="1"/>
    <col min="541" max="541" width="12.125" bestFit="1" customWidth="1"/>
    <col min="764" max="764" width="12.625" customWidth="1"/>
    <col min="768" max="768" width="12.875" customWidth="1"/>
    <col min="775" max="775" width="5.625" customWidth="1"/>
    <col min="782" max="782" width="5.625" customWidth="1"/>
    <col min="787" max="787" width="5.625" customWidth="1"/>
    <col min="789" max="789" width="11.375" bestFit="1" customWidth="1"/>
    <col min="792" max="792" width="11.625" customWidth="1"/>
    <col min="796" max="796" width="11.125" bestFit="1" customWidth="1"/>
    <col min="797" max="797" width="12.125" bestFit="1" customWidth="1"/>
    <col min="1020" max="1020" width="12.625" customWidth="1"/>
    <col min="1024" max="1024" width="12.875" customWidth="1"/>
    <col min="1031" max="1031" width="5.625" customWidth="1"/>
    <col min="1038" max="1038" width="5.625" customWidth="1"/>
    <col min="1043" max="1043" width="5.625" customWidth="1"/>
    <col min="1045" max="1045" width="11.375" bestFit="1" customWidth="1"/>
    <col min="1048" max="1048" width="11.625" customWidth="1"/>
    <col min="1052" max="1052" width="11.125" bestFit="1" customWidth="1"/>
    <col min="1053" max="1053" width="12.125" bestFit="1" customWidth="1"/>
    <col min="1276" max="1276" width="12.625" customWidth="1"/>
    <col min="1280" max="1280" width="12.875" customWidth="1"/>
    <col min="1287" max="1287" width="5.625" customWidth="1"/>
    <col min="1294" max="1294" width="5.625" customWidth="1"/>
    <col min="1299" max="1299" width="5.625" customWidth="1"/>
    <col min="1301" max="1301" width="11.375" bestFit="1" customWidth="1"/>
    <col min="1304" max="1304" width="11.625" customWidth="1"/>
    <col min="1308" max="1308" width="11.125" bestFit="1" customWidth="1"/>
    <col min="1309" max="1309" width="12.125" bestFit="1" customWidth="1"/>
    <col min="1532" max="1532" width="12.625" customWidth="1"/>
    <col min="1536" max="1536" width="12.875" customWidth="1"/>
    <col min="1543" max="1543" width="5.625" customWidth="1"/>
    <col min="1550" max="1550" width="5.625" customWidth="1"/>
    <col min="1555" max="1555" width="5.625" customWidth="1"/>
    <col min="1557" max="1557" width="11.375" bestFit="1" customWidth="1"/>
    <col min="1560" max="1560" width="11.625" customWidth="1"/>
    <col min="1564" max="1564" width="11.125" bestFit="1" customWidth="1"/>
    <col min="1565" max="1565" width="12.125" bestFit="1" customWidth="1"/>
    <col min="1788" max="1788" width="12.625" customWidth="1"/>
    <col min="1792" max="1792" width="12.875" customWidth="1"/>
    <col min="1799" max="1799" width="5.625" customWidth="1"/>
    <col min="1806" max="1806" width="5.625" customWidth="1"/>
    <col min="1811" max="1811" width="5.625" customWidth="1"/>
    <col min="1813" max="1813" width="11.375" bestFit="1" customWidth="1"/>
    <col min="1816" max="1816" width="11.625" customWidth="1"/>
    <col min="1820" max="1820" width="11.125" bestFit="1" customWidth="1"/>
    <col min="1821" max="1821" width="12.125" bestFit="1" customWidth="1"/>
    <col min="2044" max="2044" width="12.625" customWidth="1"/>
    <col min="2048" max="2048" width="12.875" customWidth="1"/>
    <col min="2055" max="2055" width="5.625" customWidth="1"/>
    <col min="2062" max="2062" width="5.625" customWidth="1"/>
    <col min="2067" max="2067" width="5.625" customWidth="1"/>
    <col min="2069" max="2069" width="11.375" bestFit="1" customWidth="1"/>
    <col min="2072" max="2072" width="11.625" customWidth="1"/>
    <col min="2076" max="2076" width="11.125" bestFit="1" customWidth="1"/>
    <col min="2077" max="2077" width="12.125" bestFit="1" customWidth="1"/>
    <col min="2300" max="2300" width="12.625" customWidth="1"/>
    <col min="2304" max="2304" width="12.875" customWidth="1"/>
    <col min="2311" max="2311" width="5.625" customWidth="1"/>
    <col min="2318" max="2318" width="5.625" customWidth="1"/>
    <col min="2323" max="2323" width="5.625" customWidth="1"/>
    <col min="2325" max="2325" width="11.375" bestFit="1" customWidth="1"/>
    <col min="2328" max="2328" width="11.625" customWidth="1"/>
    <col min="2332" max="2332" width="11.125" bestFit="1" customWidth="1"/>
    <col min="2333" max="2333" width="12.125" bestFit="1" customWidth="1"/>
    <col min="2556" max="2556" width="12.625" customWidth="1"/>
    <col min="2560" max="2560" width="12.875" customWidth="1"/>
    <col min="2567" max="2567" width="5.625" customWidth="1"/>
    <col min="2574" max="2574" width="5.625" customWidth="1"/>
    <col min="2579" max="2579" width="5.625" customWidth="1"/>
    <col min="2581" max="2581" width="11.375" bestFit="1" customWidth="1"/>
    <col min="2584" max="2584" width="11.625" customWidth="1"/>
    <col min="2588" max="2588" width="11.125" bestFit="1" customWidth="1"/>
    <col min="2589" max="2589" width="12.125" bestFit="1" customWidth="1"/>
    <col min="2812" max="2812" width="12.625" customWidth="1"/>
    <col min="2816" max="2816" width="12.875" customWidth="1"/>
    <col min="2823" max="2823" width="5.625" customWidth="1"/>
    <col min="2830" max="2830" width="5.625" customWidth="1"/>
    <col min="2835" max="2835" width="5.625" customWidth="1"/>
    <col min="2837" max="2837" width="11.375" bestFit="1" customWidth="1"/>
    <col min="2840" max="2840" width="11.625" customWidth="1"/>
    <col min="2844" max="2844" width="11.125" bestFit="1" customWidth="1"/>
    <col min="2845" max="2845" width="12.125" bestFit="1" customWidth="1"/>
    <col min="3068" max="3068" width="12.625" customWidth="1"/>
    <col min="3072" max="3072" width="12.875" customWidth="1"/>
    <col min="3079" max="3079" width="5.625" customWidth="1"/>
    <col min="3086" max="3086" width="5.625" customWidth="1"/>
    <col min="3091" max="3091" width="5.625" customWidth="1"/>
    <col min="3093" max="3093" width="11.375" bestFit="1" customWidth="1"/>
    <col min="3096" max="3096" width="11.625" customWidth="1"/>
    <col min="3100" max="3100" width="11.125" bestFit="1" customWidth="1"/>
    <col min="3101" max="3101" width="12.125" bestFit="1" customWidth="1"/>
    <col min="3324" max="3324" width="12.625" customWidth="1"/>
    <col min="3328" max="3328" width="12.875" customWidth="1"/>
    <col min="3335" max="3335" width="5.625" customWidth="1"/>
    <col min="3342" max="3342" width="5.625" customWidth="1"/>
    <col min="3347" max="3347" width="5.625" customWidth="1"/>
    <col min="3349" max="3349" width="11.375" bestFit="1" customWidth="1"/>
    <col min="3352" max="3352" width="11.625" customWidth="1"/>
    <col min="3356" max="3356" width="11.125" bestFit="1" customWidth="1"/>
    <col min="3357" max="3357" width="12.125" bestFit="1" customWidth="1"/>
    <col min="3580" max="3580" width="12.625" customWidth="1"/>
    <col min="3584" max="3584" width="12.875" customWidth="1"/>
    <col min="3591" max="3591" width="5.625" customWidth="1"/>
    <col min="3598" max="3598" width="5.625" customWidth="1"/>
    <col min="3603" max="3603" width="5.625" customWidth="1"/>
    <col min="3605" max="3605" width="11.375" bestFit="1" customWidth="1"/>
    <col min="3608" max="3608" width="11.625" customWidth="1"/>
    <col min="3612" max="3612" width="11.125" bestFit="1" customWidth="1"/>
    <col min="3613" max="3613" width="12.125" bestFit="1" customWidth="1"/>
    <col min="3836" max="3836" width="12.625" customWidth="1"/>
    <col min="3840" max="3840" width="12.875" customWidth="1"/>
    <col min="3847" max="3847" width="5.625" customWidth="1"/>
    <col min="3854" max="3854" width="5.625" customWidth="1"/>
    <col min="3859" max="3859" width="5.625" customWidth="1"/>
    <col min="3861" max="3861" width="11.375" bestFit="1" customWidth="1"/>
    <col min="3864" max="3864" width="11.625" customWidth="1"/>
    <col min="3868" max="3868" width="11.125" bestFit="1" customWidth="1"/>
    <col min="3869" max="3869" width="12.125" bestFit="1" customWidth="1"/>
    <col min="4092" max="4092" width="12.625" customWidth="1"/>
    <col min="4096" max="4096" width="12.875" customWidth="1"/>
    <col min="4103" max="4103" width="5.625" customWidth="1"/>
    <col min="4110" max="4110" width="5.625" customWidth="1"/>
    <col min="4115" max="4115" width="5.625" customWidth="1"/>
    <col min="4117" max="4117" width="11.375" bestFit="1" customWidth="1"/>
    <col min="4120" max="4120" width="11.625" customWidth="1"/>
    <col min="4124" max="4124" width="11.125" bestFit="1" customWidth="1"/>
    <col min="4125" max="4125" width="12.125" bestFit="1" customWidth="1"/>
    <col min="4348" max="4348" width="12.625" customWidth="1"/>
    <col min="4352" max="4352" width="12.875" customWidth="1"/>
    <col min="4359" max="4359" width="5.625" customWidth="1"/>
    <col min="4366" max="4366" width="5.625" customWidth="1"/>
    <col min="4371" max="4371" width="5.625" customWidth="1"/>
    <col min="4373" max="4373" width="11.375" bestFit="1" customWidth="1"/>
    <col min="4376" max="4376" width="11.625" customWidth="1"/>
    <col min="4380" max="4380" width="11.125" bestFit="1" customWidth="1"/>
    <col min="4381" max="4381" width="12.125" bestFit="1" customWidth="1"/>
    <col min="4604" max="4604" width="12.625" customWidth="1"/>
    <col min="4608" max="4608" width="12.875" customWidth="1"/>
    <col min="4615" max="4615" width="5.625" customWidth="1"/>
    <col min="4622" max="4622" width="5.625" customWidth="1"/>
    <col min="4627" max="4627" width="5.625" customWidth="1"/>
    <col min="4629" max="4629" width="11.375" bestFit="1" customWidth="1"/>
    <col min="4632" max="4632" width="11.625" customWidth="1"/>
    <col min="4636" max="4636" width="11.125" bestFit="1" customWidth="1"/>
    <col min="4637" max="4637" width="12.125" bestFit="1" customWidth="1"/>
    <col min="4860" max="4860" width="12.625" customWidth="1"/>
    <col min="4864" max="4864" width="12.875" customWidth="1"/>
    <col min="4871" max="4871" width="5.625" customWidth="1"/>
    <col min="4878" max="4878" width="5.625" customWidth="1"/>
    <col min="4883" max="4883" width="5.625" customWidth="1"/>
    <col min="4885" max="4885" width="11.375" bestFit="1" customWidth="1"/>
    <col min="4888" max="4888" width="11.625" customWidth="1"/>
    <col min="4892" max="4892" width="11.125" bestFit="1" customWidth="1"/>
    <col min="4893" max="4893" width="12.125" bestFit="1" customWidth="1"/>
    <col min="5116" max="5116" width="12.625" customWidth="1"/>
    <col min="5120" max="5120" width="12.875" customWidth="1"/>
    <col min="5127" max="5127" width="5.625" customWidth="1"/>
    <col min="5134" max="5134" width="5.625" customWidth="1"/>
    <col min="5139" max="5139" width="5.625" customWidth="1"/>
    <col min="5141" max="5141" width="11.375" bestFit="1" customWidth="1"/>
    <col min="5144" max="5144" width="11.625" customWidth="1"/>
    <col min="5148" max="5148" width="11.125" bestFit="1" customWidth="1"/>
    <col min="5149" max="5149" width="12.125" bestFit="1" customWidth="1"/>
    <col min="5372" max="5372" width="12.625" customWidth="1"/>
    <col min="5376" max="5376" width="12.875" customWidth="1"/>
    <col min="5383" max="5383" width="5.625" customWidth="1"/>
    <col min="5390" max="5390" width="5.625" customWidth="1"/>
    <col min="5395" max="5395" width="5.625" customWidth="1"/>
    <col min="5397" max="5397" width="11.375" bestFit="1" customWidth="1"/>
    <col min="5400" max="5400" width="11.625" customWidth="1"/>
    <col min="5404" max="5404" width="11.125" bestFit="1" customWidth="1"/>
    <col min="5405" max="5405" width="12.125" bestFit="1" customWidth="1"/>
    <col min="5628" max="5628" width="12.625" customWidth="1"/>
    <col min="5632" max="5632" width="12.875" customWidth="1"/>
    <col min="5639" max="5639" width="5.625" customWidth="1"/>
    <col min="5646" max="5646" width="5.625" customWidth="1"/>
    <col min="5651" max="5651" width="5.625" customWidth="1"/>
    <col min="5653" max="5653" width="11.375" bestFit="1" customWidth="1"/>
    <col min="5656" max="5656" width="11.625" customWidth="1"/>
    <col min="5660" max="5660" width="11.125" bestFit="1" customWidth="1"/>
    <col min="5661" max="5661" width="12.125" bestFit="1" customWidth="1"/>
    <col min="5884" max="5884" width="12.625" customWidth="1"/>
    <col min="5888" max="5888" width="12.875" customWidth="1"/>
    <col min="5895" max="5895" width="5.625" customWidth="1"/>
    <col min="5902" max="5902" width="5.625" customWidth="1"/>
    <col min="5907" max="5907" width="5.625" customWidth="1"/>
    <col min="5909" max="5909" width="11.375" bestFit="1" customWidth="1"/>
    <col min="5912" max="5912" width="11.625" customWidth="1"/>
    <col min="5916" max="5916" width="11.125" bestFit="1" customWidth="1"/>
    <col min="5917" max="5917" width="12.125" bestFit="1" customWidth="1"/>
    <col min="6140" max="6140" width="12.625" customWidth="1"/>
    <col min="6144" max="6144" width="12.875" customWidth="1"/>
    <col min="6151" max="6151" width="5.625" customWidth="1"/>
    <col min="6158" max="6158" width="5.625" customWidth="1"/>
    <col min="6163" max="6163" width="5.625" customWidth="1"/>
    <col min="6165" max="6165" width="11.375" bestFit="1" customWidth="1"/>
    <col min="6168" max="6168" width="11.625" customWidth="1"/>
    <col min="6172" max="6172" width="11.125" bestFit="1" customWidth="1"/>
    <col min="6173" max="6173" width="12.125" bestFit="1" customWidth="1"/>
    <col min="6396" max="6396" width="12.625" customWidth="1"/>
    <col min="6400" max="6400" width="12.875" customWidth="1"/>
    <col min="6407" max="6407" width="5.625" customWidth="1"/>
    <col min="6414" max="6414" width="5.625" customWidth="1"/>
    <col min="6419" max="6419" width="5.625" customWidth="1"/>
    <col min="6421" max="6421" width="11.375" bestFit="1" customWidth="1"/>
    <col min="6424" max="6424" width="11.625" customWidth="1"/>
    <col min="6428" max="6428" width="11.125" bestFit="1" customWidth="1"/>
    <col min="6429" max="6429" width="12.125" bestFit="1" customWidth="1"/>
    <col min="6652" max="6652" width="12.625" customWidth="1"/>
    <col min="6656" max="6656" width="12.875" customWidth="1"/>
    <col min="6663" max="6663" width="5.625" customWidth="1"/>
    <col min="6670" max="6670" width="5.625" customWidth="1"/>
    <col min="6675" max="6675" width="5.625" customWidth="1"/>
    <col min="6677" max="6677" width="11.375" bestFit="1" customWidth="1"/>
    <col min="6680" max="6680" width="11.625" customWidth="1"/>
    <col min="6684" max="6684" width="11.125" bestFit="1" customWidth="1"/>
    <col min="6685" max="6685" width="12.125" bestFit="1" customWidth="1"/>
    <col min="6908" max="6908" width="12.625" customWidth="1"/>
    <col min="6912" max="6912" width="12.875" customWidth="1"/>
    <col min="6919" max="6919" width="5.625" customWidth="1"/>
    <col min="6926" max="6926" width="5.625" customWidth="1"/>
    <col min="6931" max="6931" width="5.625" customWidth="1"/>
    <col min="6933" max="6933" width="11.375" bestFit="1" customWidth="1"/>
    <col min="6936" max="6936" width="11.625" customWidth="1"/>
    <col min="6940" max="6940" width="11.125" bestFit="1" customWidth="1"/>
    <col min="6941" max="6941" width="12.125" bestFit="1" customWidth="1"/>
    <col min="7164" max="7164" width="12.625" customWidth="1"/>
    <col min="7168" max="7168" width="12.875" customWidth="1"/>
    <col min="7175" max="7175" width="5.625" customWidth="1"/>
    <col min="7182" max="7182" width="5.625" customWidth="1"/>
    <col min="7187" max="7187" width="5.625" customWidth="1"/>
    <col min="7189" max="7189" width="11.375" bestFit="1" customWidth="1"/>
    <col min="7192" max="7192" width="11.625" customWidth="1"/>
    <col min="7196" max="7196" width="11.125" bestFit="1" customWidth="1"/>
    <col min="7197" max="7197" width="12.125" bestFit="1" customWidth="1"/>
    <col min="7420" max="7420" width="12.625" customWidth="1"/>
    <col min="7424" max="7424" width="12.875" customWidth="1"/>
    <col min="7431" max="7431" width="5.625" customWidth="1"/>
    <col min="7438" max="7438" width="5.625" customWidth="1"/>
    <col min="7443" max="7443" width="5.625" customWidth="1"/>
    <col min="7445" max="7445" width="11.375" bestFit="1" customWidth="1"/>
    <col min="7448" max="7448" width="11.625" customWidth="1"/>
    <col min="7452" max="7452" width="11.125" bestFit="1" customWidth="1"/>
    <col min="7453" max="7453" width="12.125" bestFit="1" customWidth="1"/>
    <col min="7676" max="7676" width="12.625" customWidth="1"/>
    <col min="7680" max="7680" width="12.875" customWidth="1"/>
    <col min="7687" max="7687" width="5.625" customWidth="1"/>
    <col min="7694" max="7694" width="5.625" customWidth="1"/>
    <col min="7699" max="7699" width="5.625" customWidth="1"/>
    <col min="7701" max="7701" width="11.375" bestFit="1" customWidth="1"/>
    <col min="7704" max="7704" width="11.625" customWidth="1"/>
    <col min="7708" max="7708" width="11.125" bestFit="1" customWidth="1"/>
    <col min="7709" max="7709" width="12.125" bestFit="1" customWidth="1"/>
    <col min="7932" max="7932" width="12.625" customWidth="1"/>
    <col min="7936" max="7936" width="12.875" customWidth="1"/>
    <col min="7943" max="7943" width="5.625" customWidth="1"/>
    <col min="7950" max="7950" width="5.625" customWidth="1"/>
    <col min="7955" max="7955" width="5.625" customWidth="1"/>
    <col min="7957" max="7957" width="11.375" bestFit="1" customWidth="1"/>
    <col min="7960" max="7960" width="11.625" customWidth="1"/>
    <col min="7964" max="7964" width="11.125" bestFit="1" customWidth="1"/>
    <col min="7965" max="7965" width="12.125" bestFit="1" customWidth="1"/>
    <col min="8188" max="8188" width="12.625" customWidth="1"/>
    <col min="8192" max="8192" width="12.875" customWidth="1"/>
    <col min="8199" max="8199" width="5.625" customWidth="1"/>
    <col min="8206" max="8206" width="5.625" customWidth="1"/>
    <col min="8211" max="8211" width="5.625" customWidth="1"/>
    <col min="8213" max="8213" width="11.375" bestFit="1" customWidth="1"/>
    <col min="8216" max="8216" width="11.625" customWidth="1"/>
    <col min="8220" max="8220" width="11.125" bestFit="1" customWidth="1"/>
    <col min="8221" max="8221" width="12.125" bestFit="1" customWidth="1"/>
    <col min="8444" max="8444" width="12.625" customWidth="1"/>
    <col min="8448" max="8448" width="12.875" customWidth="1"/>
    <col min="8455" max="8455" width="5.625" customWidth="1"/>
    <col min="8462" max="8462" width="5.625" customWidth="1"/>
    <col min="8467" max="8467" width="5.625" customWidth="1"/>
    <col min="8469" max="8469" width="11.375" bestFit="1" customWidth="1"/>
    <col min="8472" max="8472" width="11.625" customWidth="1"/>
    <col min="8476" max="8476" width="11.125" bestFit="1" customWidth="1"/>
    <col min="8477" max="8477" width="12.125" bestFit="1" customWidth="1"/>
    <col min="8700" max="8700" width="12.625" customWidth="1"/>
    <col min="8704" max="8704" width="12.875" customWidth="1"/>
    <col min="8711" max="8711" width="5.625" customWidth="1"/>
    <col min="8718" max="8718" width="5.625" customWidth="1"/>
    <col min="8723" max="8723" width="5.625" customWidth="1"/>
    <col min="8725" max="8725" width="11.375" bestFit="1" customWidth="1"/>
    <col min="8728" max="8728" width="11.625" customWidth="1"/>
    <col min="8732" max="8732" width="11.125" bestFit="1" customWidth="1"/>
    <col min="8733" max="8733" width="12.125" bestFit="1" customWidth="1"/>
    <col min="8956" max="8956" width="12.625" customWidth="1"/>
    <col min="8960" max="8960" width="12.875" customWidth="1"/>
    <col min="8967" max="8967" width="5.625" customWidth="1"/>
    <col min="8974" max="8974" width="5.625" customWidth="1"/>
    <col min="8979" max="8979" width="5.625" customWidth="1"/>
    <col min="8981" max="8981" width="11.375" bestFit="1" customWidth="1"/>
    <col min="8984" max="8984" width="11.625" customWidth="1"/>
    <col min="8988" max="8988" width="11.125" bestFit="1" customWidth="1"/>
    <col min="8989" max="8989" width="12.125" bestFit="1" customWidth="1"/>
    <col min="9212" max="9212" width="12.625" customWidth="1"/>
    <col min="9216" max="9216" width="12.875" customWidth="1"/>
    <col min="9223" max="9223" width="5.625" customWidth="1"/>
    <col min="9230" max="9230" width="5.625" customWidth="1"/>
    <col min="9235" max="9235" width="5.625" customWidth="1"/>
    <col min="9237" max="9237" width="11.375" bestFit="1" customWidth="1"/>
    <col min="9240" max="9240" width="11.625" customWidth="1"/>
    <col min="9244" max="9244" width="11.125" bestFit="1" customWidth="1"/>
    <col min="9245" max="9245" width="12.125" bestFit="1" customWidth="1"/>
    <col min="9468" max="9468" width="12.625" customWidth="1"/>
    <col min="9472" max="9472" width="12.875" customWidth="1"/>
    <col min="9479" max="9479" width="5.625" customWidth="1"/>
    <col min="9486" max="9486" width="5.625" customWidth="1"/>
    <col min="9491" max="9491" width="5.625" customWidth="1"/>
    <col min="9493" max="9493" width="11.375" bestFit="1" customWidth="1"/>
    <col min="9496" max="9496" width="11.625" customWidth="1"/>
    <col min="9500" max="9500" width="11.125" bestFit="1" customWidth="1"/>
    <col min="9501" max="9501" width="12.125" bestFit="1" customWidth="1"/>
    <col min="9724" max="9724" width="12.625" customWidth="1"/>
    <col min="9728" max="9728" width="12.875" customWidth="1"/>
    <col min="9735" max="9735" width="5.625" customWidth="1"/>
    <col min="9742" max="9742" width="5.625" customWidth="1"/>
    <col min="9747" max="9747" width="5.625" customWidth="1"/>
    <col min="9749" max="9749" width="11.375" bestFit="1" customWidth="1"/>
    <col min="9752" max="9752" width="11.625" customWidth="1"/>
    <col min="9756" max="9756" width="11.125" bestFit="1" customWidth="1"/>
    <col min="9757" max="9757" width="12.125" bestFit="1" customWidth="1"/>
    <col min="9980" max="9980" width="12.625" customWidth="1"/>
    <col min="9984" max="9984" width="12.875" customWidth="1"/>
    <col min="9991" max="9991" width="5.625" customWidth="1"/>
    <col min="9998" max="9998" width="5.625" customWidth="1"/>
    <col min="10003" max="10003" width="5.625" customWidth="1"/>
    <col min="10005" max="10005" width="11.375" bestFit="1" customWidth="1"/>
    <col min="10008" max="10008" width="11.625" customWidth="1"/>
    <col min="10012" max="10012" width="11.125" bestFit="1" customWidth="1"/>
    <col min="10013" max="10013" width="12.125" bestFit="1" customWidth="1"/>
    <col min="10236" max="10236" width="12.625" customWidth="1"/>
    <col min="10240" max="10240" width="12.875" customWidth="1"/>
    <col min="10247" max="10247" width="5.625" customWidth="1"/>
    <col min="10254" max="10254" width="5.625" customWidth="1"/>
    <col min="10259" max="10259" width="5.625" customWidth="1"/>
    <col min="10261" max="10261" width="11.375" bestFit="1" customWidth="1"/>
    <col min="10264" max="10264" width="11.625" customWidth="1"/>
    <col min="10268" max="10268" width="11.125" bestFit="1" customWidth="1"/>
    <col min="10269" max="10269" width="12.125" bestFit="1" customWidth="1"/>
    <col min="10492" max="10492" width="12.625" customWidth="1"/>
    <col min="10496" max="10496" width="12.875" customWidth="1"/>
    <col min="10503" max="10503" width="5.625" customWidth="1"/>
    <col min="10510" max="10510" width="5.625" customWidth="1"/>
    <col min="10515" max="10515" width="5.625" customWidth="1"/>
    <col min="10517" max="10517" width="11.375" bestFit="1" customWidth="1"/>
    <col min="10520" max="10520" width="11.625" customWidth="1"/>
    <col min="10524" max="10524" width="11.125" bestFit="1" customWidth="1"/>
    <col min="10525" max="10525" width="12.125" bestFit="1" customWidth="1"/>
    <col min="10748" max="10748" width="12.625" customWidth="1"/>
    <col min="10752" max="10752" width="12.875" customWidth="1"/>
    <col min="10759" max="10759" width="5.625" customWidth="1"/>
    <col min="10766" max="10766" width="5.625" customWidth="1"/>
    <col min="10771" max="10771" width="5.625" customWidth="1"/>
    <col min="10773" max="10773" width="11.375" bestFit="1" customWidth="1"/>
    <col min="10776" max="10776" width="11.625" customWidth="1"/>
    <col min="10780" max="10780" width="11.125" bestFit="1" customWidth="1"/>
    <col min="10781" max="10781" width="12.125" bestFit="1" customWidth="1"/>
    <col min="11004" max="11004" width="12.625" customWidth="1"/>
    <col min="11008" max="11008" width="12.875" customWidth="1"/>
    <col min="11015" max="11015" width="5.625" customWidth="1"/>
    <col min="11022" max="11022" width="5.625" customWidth="1"/>
    <col min="11027" max="11027" width="5.625" customWidth="1"/>
    <col min="11029" max="11029" width="11.375" bestFit="1" customWidth="1"/>
    <col min="11032" max="11032" width="11.625" customWidth="1"/>
    <col min="11036" max="11036" width="11.125" bestFit="1" customWidth="1"/>
    <col min="11037" max="11037" width="12.125" bestFit="1" customWidth="1"/>
    <col min="11260" max="11260" width="12.625" customWidth="1"/>
    <col min="11264" max="11264" width="12.875" customWidth="1"/>
    <col min="11271" max="11271" width="5.625" customWidth="1"/>
    <col min="11278" max="11278" width="5.625" customWidth="1"/>
    <col min="11283" max="11283" width="5.625" customWidth="1"/>
    <col min="11285" max="11285" width="11.375" bestFit="1" customWidth="1"/>
    <col min="11288" max="11288" width="11.625" customWidth="1"/>
    <col min="11292" max="11292" width="11.125" bestFit="1" customWidth="1"/>
    <col min="11293" max="11293" width="12.125" bestFit="1" customWidth="1"/>
    <col min="11516" max="11516" width="12.625" customWidth="1"/>
    <col min="11520" max="11520" width="12.875" customWidth="1"/>
    <col min="11527" max="11527" width="5.625" customWidth="1"/>
    <col min="11534" max="11534" width="5.625" customWidth="1"/>
    <col min="11539" max="11539" width="5.625" customWidth="1"/>
    <col min="11541" max="11541" width="11.375" bestFit="1" customWidth="1"/>
    <col min="11544" max="11544" width="11.625" customWidth="1"/>
    <col min="11548" max="11548" width="11.125" bestFit="1" customWidth="1"/>
    <col min="11549" max="11549" width="12.125" bestFit="1" customWidth="1"/>
    <col min="11772" max="11772" width="12.625" customWidth="1"/>
    <col min="11776" max="11776" width="12.875" customWidth="1"/>
    <col min="11783" max="11783" width="5.625" customWidth="1"/>
    <col min="11790" max="11790" width="5.625" customWidth="1"/>
    <col min="11795" max="11795" width="5.625" customWidth="1"/>
    <col min="11797" max="11797" width="11.375" bestFit="1" customWidth="1"/>
    <col min="11800" max="11800" width="11.625" customWidth="1"/>
    <col min="11804" max="11804" width="11.125" bestFit="1" customWidth="1"/>
    <col min="11805" max="11805" width="12.125" bestFit="1" customWidth="1"/>
    <col min="12028" max="12028" width="12.625" customWidth="1"/>
    <col min="12032" max="12032" width="12.875" customWidth="1"/>
    <col min="12039" max="12039" width="5.625" customWidth="1"/>
    <col min="12046" max="12046" width="5.625" customWidth="1"/>
    <col min="12051" max="12051" width="5.625" customWidth="1"/>
    <col min="12053" max="12053" width="11.375" bestFit="1" customWidth="1"/>
    <col min="12056" max="12056" width="11.625" customWidth="1"/>
    <col min="12060" max="12060" width="11.125" bestFit="1" customWidth="1"/>
    <col min="12061" max="12061" width="12.125" bestFit="1" customWidth="1"/>
    <col min="12284" max="12284" width="12.625" customWidth="1"/>
    <col min="12288" max="12288" width="12.875" customWidth="1"/>
    <col min="12295" max="12295" width="5.625" customWidth="1"/>
    <col min="12302" max="12302" width="5.625" customWidth="1"/>
    <col min="12307" max="12307" width="5.625" customWidth="1"/>
    <col min="12309" max="12309" width="11.375" bestFit="1" customWidth="1"/>
    <col min="12312" max="12312" width="11.625" customWidth="1"/>
    <col min="12316" max="12316" width="11.125" bestFit="1" customWidth="1"/>
    <col min="12317" max="12317" width="12.125" bestFit="1" customWidth="1"/>
    <col min="12540" max="12540" width="12.625" customWidth="1"/>
    <col min="12544" max="12544" width="12.875" customWidth="1"/>
    <col min="12551" max="12551" width="5.625" customWidth="1"/>
    <col min="12558" max="12558" width="5.625" customWidth="1"/>
    <col min="12563" max="12563" width="5.625" customWidth="1"/>
    <col min="12565" max="12565" width="11.375" bestFit="1" customWidth="1"/>
    <col min="12568" max="12568" width="11.625" customWidth="1"/>
    <col min="12572" max="12572" width="11.125" bestFit="1" customWidth="1"/>
    <col min="12573" max="12573" width="12.125" bestFit="1" customWidth="1"/>
    <col min="12796" max="12796" width="12.625" customWidth="1"/>
    <col min="12800" max="12800" width="12.875" customWidth="1"/>
    <col min="12807" max="12807" width="5.625" customWidth="1"/>
    <col min="12814" max="12814" width="5.625" customWidth="1"/>
    <col min="12819" max="12819" width="5.625" customWidth="1"/>
    <col min="12821" max="12821" width="11.375" bestFit="1" customWidth="1"/>
    <col min="12824" max="12824" width="11.625" customWidth="1"/>
    <col min="12828" max="12828" width="11.125" bestFit="1" customWidth="1"/>
    <col min="12829" max="12829" width="12.125" bestFit="1" customWidth="1"/>
    <col min="13052" max="13052" width="12.625" customWidth="1"/>
    <col min="13056" max="13056" width="12.875" customWidth="1"/>
    <col min="13063" max="13063" width="5.625" customWidth="1"/>
    <col min="13070" max="13070" width="5.625" customWidth="1"/>
    <col min="13075" max="13075" width="5.625" customWidth="1"/>
    <col min="13077" max="13077" width="11.375" bestFit="1" customWidth="1"/>
    <col min="13080" max="13080" width="11.625" customWidth="1"/>
    <col min="13084" max="13084" width="11.125" bestFit="1" customWidth="1"/>
    <col min="13085" max="13085" width="12.125" bestFit="1" customWidth="1"/>
    <col min="13308" max="13308" width="12.625" customWidth="1"/>
    <col min="13312" max="13312" width="12.875" customWidth="1"/>
    <col min="13319" max="13319" width="5.625" customWidth="1"/>
    <col min="13326" max="13326" width="5.625" customWidth="1"/>
    <col min="13331" max="13331" width="5.625" customWidth="1"/>
    <col min="13333" max="13333" width="11.375" bestFit="1" customWidth="1"/>
    <col min="13336" max="13336" width="11.625" customWidth="1"/>
    <col min="13340" max="13340" width="11.125" bestFit="1" customWidth="1"/>
    <col min="13341" max="13341" width="12.125" bestFit="1" customWidth="1"/>
    <col min="13564" max="13564" width="12.625" customWidth="1"/>
    <col min="13568" max="13568" width="12.875" customWidth="1"/>
    <col min="13575" max="13575" width="5.625" customWidth="1"/>
    <col min="13582" max="13582" width="5.625" customWidth="1"/>
    <col min="13587" max="13587" width="5.625" customWidth="1"/>
    <col min="13589" max="13589" width="11.375" bestFit="1" customWidth="1"/>
    <col min="13592" max="13592" width="11.625" customWidth="1"/>
    <col min="13596" max="13596" width="11.125" bestFit="1" customWidth="1"/>
    <col min="13597" max="13597" width="12.125" bestFit="1" customWidth="1"/>
    <col min="13820" max="13820" width="12.625" customWidth="1"/>
    <col min="13824" max="13824" width="12.875" customWidth="1"/>
    <col min="13831" max="13831" width="5.625" customWidth="1"/>
    <col min="13838" max="13838" width="5.625" customWidth="1"/>
    <col min="13843" max="13843" width="5.625" customWidth="1"/>
    <col min="13845" max="13845" width="11.375" bestFit="1" customWidth="1"/>
    <col min="13848" max="13848" width="11.625" customWidth="1"/>
    <col min="13852" max="13852" width="11.125" bestFit="1" customWidth="1"/>
    <col min="13853" max="13853" width="12.125" bestFit="1" customWidth="1"/>
    <col min="14076" max="14076" width="12.625" customWidth="1"/>
    <col min="14080" max="14080" width="12.875" customWidth="1"/>
    <col min="14087" max="14087" width="5.625" customWidth="1"/>
    <col min="14094" max="14094" width="5.625" customWidth="1"/>
    <col min="14099" max="14099" width="5.625" customWidth="1"/>
    <col min="14101" max="14101" width="11.375" bestFit="1" customWidth="1"/>
    <col min="14104" max="14104" width="11.625" customWidth="1"/>
    <col min="14108" max="14108" width="11.125" bestFit="1" customWidth="1"/>
    <col min="14109" max="14109" width="12.125" bestFit="1" customWidth="1"/>
    <col min="14332" max="14332" width="12.625" customWidth="1"/>
    <col min="14336" max="14336" width="12.875" customWidth="1"/>
    <col min="14343" max="14343" width="5.625" customWidth="1"/>
    <col min="14350" max="14350" width="5.625" customWidth="1"/>
    <col min="14355" max="14355" width="5.625" customWidth="1"/>
    <col min="14357" max="14357" width="11.375" bestFit="1" customWidth="1"/>
    <col min="14360" max="14360" width="11.625" customWidth="1"/>
    <col min="14364" max="14364" width="11.125" bestFit="1" customWidth="1"/>
    <col min="14365" max="14365" width="12.125" bestFit="1" customWidth="1"/>
    <col min="14588" max="14588" width="12.625" customWidth="1"/>
    <col min="14592" max="14592" width="12.875" customWidth="1"/>
    <col min="14599" max="14599" width="5.625" customWidth="1"/>
    <col min="14606" max="14606" width="5.625" customWidth="1"/>
    <col min="14611" max="14611" width="5.625" customWidth="1"/>
    <col min="14613" max="14613" width="11.375" bestFit="1" customWidth="1"/>
    <col min="14616" max="14616" width="11.625" customWidth="1"/>
    <col min="14620" max="14620" width="11.125" bestFit="1" customWidth="1"/>
    <col min="14621" max="14621" width="12.125" bestFit="1" customWidth="1"/>
    <col min="14844" max="14844" width="12.625" customWidth="1"/>
    <col min="14848" max="14848" width="12.875" customWidth="1"/>
    <col min="14855" max="14855" width="5.625" customWidth="1"/>
    <col min="14862" max="14862" width="5.625" customWidth="1"/>
    <col min="14867" max="14867" width="5.625" customWidth="1"/>
    <col min="14869" max="14869" width="11.375" bestFit="1" customWidth="1"/>
    <col min="14872" max="14872" width="11.625" customWidth="1"/>
    <col min="14876" max="14876" width="11.125" bestFit="1" customWidth="1"/>
    <col min="14877" max="14877" width="12.125" bestFit="1" customWidth="1"/>
    <col min="15100" max="15100" width="12.625" customWidth="1"/>
    <col min="15104" max="15104" width="12.875" customWidth="1"/>
    <col min="15111" max="15111" width="5.625" customWidth="1"/>
    <col min="15118" max="15118" width="5.625" customWidth="1"/>
    <col min="15123" max="15123" width="5.625" customWidth="1"/>
    <col min="15125" max="15125" width="11.375" bestFit="1" customWidth="1"/>
    <col min="15128" max="15128" width="11.625" customWidth="1"/>
    <col min="15132" max="15132" width="11.125" bestFit="1" customWidth="1"/>
    <col min="15133" max="15133" width="12.125" bestFit="1" customWidth="1"/>
    <col min="15356" max="15356" width="12.625" customWidth="1"/>
    <col min="15360" max="15360" width="12.875" customWidth="1"/>
    <col min="15367" max="15367" width="5.625" customWidth="1"/>
    <col min="15374" max="15374" width="5.625" customWidth="1"/>
    <col min="15379" max="15379" width="5.625" customWidth="1"/>
    <col min="15381" max="15381" width="11.375" bestFit="1" customWidth="1"/>
    <col min="15384" max="15384" width="11.625" customWidth="1"/>
    <col min="15388" max="15388" width="11.125" bestFit="1" customWidth="1"/>
    <col min="15389" max="15389" width="12.125" bestFit="1" customWidth="1"/>
    <col min="15612" max="15612" width="12.625" customWidth="1"/>
    <col min="15616" max="15616" width="12.875" customWidth="1"/>
    <col min="15623" max="15623" width="5.625" customWidth="1"/>
    <col min="15630" max="15630" width="5.625" customWidth="1"/>
    <col min="15635" max="15635" width="5.625" customWidth="1"/>
    <col min="15637" max="15637" width="11.375" bestFit="1" customWidth="1"/>
    <col min="15640" max="15640" width="11.625" customWidth="1"/>
    <col min="15644" max="15644" width="11.125" bestFit="1" customWidth="1"/>
    <col min="15645" max="15645" width="12.125" bestFit="1" customWidth="1"/>
    <col min="15868" max="15868" width="12.625" customWidth="1"/>
    <col min="15872" max="15872" width="12.875" customWidth="1"/>
    <col min="15879" max="15879" width="5.625" customWidth="1"/>
    <col min="15886" max="15886" width="5.625" customWidth="1"/>
    <col min="15891" max="15891" width="5.625" customWidth="1"/>
    <col min="15893" max="15893" width="11.375" bestFit="1" customWidth="1"/>
    <col min="15896" max="15896" width="11.625" customWidth="1"/>
    <col min="15900" max="15900" width="11.125" bestFit="1" customWidth="1"/>
    <col min="15901" max="15901" width="12.125" bestFit="1" customWidth="1"/>
    <col min="16124" max="16124" width="12.625" customWidth="1"/>
    <col min="16128" max="16128" width="12.875" customWidth="1"/>
    <col min="16135" max="16135" width="5.625" customWidth="1"/>
    <col min="16142" max="16142" width="5.625" customWidth="1"/>
    <col min="16147" max="16147" width="5.625" customWidth="1"/>
    <col min="16149" max="16149" width="11.375" bestFit="1" customWidth="1"/>
    <col min="16152" max="16152" width="11.625" customWidth="1"/>
    <col min="16156" max="16156" width="11.125" bestFit="1" customWidth="1"/>
    <col min="16157" max="16157" width="12.125" bestFit="1" customWidth="1"/>
  </cols>
  <sheetData>
    <row r="1" spans="1:35" s="259" customFormat="1">
      <c r="A1" s="259" t="s">
        <v>8</v>
      </c>
    </row>
    <row r="2" spans="1:35" ht="24">
      <c r="A2" s="3" t="s">
        <v>154</v>
      </c>
      <c r="W2" s="278" t="s">
        <v>92</v>
      </c>
      <c r="X2" s="278"/>
      <c r="Y2" s="278"/>
      <c r="Z2" s="278"/>
      <c r="AA2" s="278"/>
      <c r="AB2" s="278"/>
      <c r="AC2" s="278"/>
      <c r="AD2" s="278"/>
      <c r="AF2" s="58">
        <v>0.04</v>
      </c>
      <c r="AG2" s="59">
        <f>AG$6+NPV($AF2,AG$7:AG$80)</f>
        <v>17.867094790934438</v>
      </c>
      <c r="AH2" s="60">
        <f>NPV($AF2,AH$6:AH$80)</f>
        <v>0.31009652328463799</v>
      </c>
      <c r="AI2" s="61">
        <f>0.85*AH2*1000/AG2</f>
        <v>14.752372888606425</v>
      </c>
    </row>
    <row r="3" spans="1:35" ht="18" customHeight="1">
      <c r="D3" s="279" t="s">
        <v>93</v>
      </c>
      <c r="E3" s="279"/>
      <c r="F3" s="279"/>
      <c r="G3" s="279"/>
      <c r="H3" s="279"/>
      <c r="I3" s="279"/>
      <c r="J3" s="279"/>
      <c r="L3" s="281" t="s">
        <v>94</v>
      </c>
      <c r="M3" s="281"/>
      <c r="N3" s="281"/>
      <c r="O3" s="281"/>
      <c r="P3" s="281"/>
      <c r="R3" s="276" t="s">
        <v>95</v>
      </c>
      <c r="S3" s="277"/>
      <c r="T3" s="277"/>
      <c r="U3" s="277"/>
      <c r="W3" s="2" t="s">
        <v>155</v>
      </c>
      <c r="X3" s="2" t="s">
        <v>156</v>
      </c>
      <c r="Y3" s="2" t="s">
        <v>157</v>
      </c>
      <c r="Z3" s="2" t="s">
        <v>158</v>
      </c>
      <c r="AA3" s="2"/>
      <c r="AB3" s="2" t="s">
        <v>159</v>
      </c>
      <c r="AC3" s="2" t="s">
        <v>160</v>
      </c>
      <c r="AD3" s="2" t="s">
        <v>161</v>
      </c>
      <c r="AF3" s="58">
        <v>0.06</v>
      </c>
      <c r="AG3" s="59">
        <f>AG$6+NPV($AF3,AG$7:AG$80)</f>
        <v>14.268838971157365</v>
      </c>
      <c r="AH3" s="60">
        <f>NPV($AF3,AH$6:AH$80)</f>
        <v>0.18962234633924652</v>
      </c>
      <c r="AI3" s="61">
        <f>1.05*AH3*1000/(AG3-1)</f>
        <v>15.005341770218362</v>
      </c>
    </row>
    <row r="4" spans="1:35" ht="31.5">
      <c r="D4" s="53" t="s">
        <v>56</v>
      </c>
      <c r="E4" s="223" t="s">
        <v>105</v>
      </c>
      <c r="F4" s="223" t="s">
        <v>106</v>
      </c>
      <c r="G4" s="223" t="s">
        <v>107</v>
      </c>
      <c r="H4" s="54" t="s">
        <v>108</v>
      </c>
      <c r="I4" s="54" t="s">
        <v>110</v>
      </c>
      <c r="J4" s="54" t="s">
        <v>112</v>
      </c>
      <c r="K4" s="54"/>
      <c r="L4" s="54" t="s">
        <v>114</v>
      </c>
      <c r="M4" s="57" t="s">
        <v>115</v>
      </c>
      <c r="N4" s="54" t="s">
        <v>117</v>
      </c>
      <c r="O4" s="54" t="s">
        <v>118</v>
      </c>
      <c r="P4" s="54" t="s">
        <v>120</v>
      </c>
      <c r="Q4" s="54"/>
      <c r="R4" s="54" t="s">
        <v>121</v>
      </c>
      <c r="S4" s="54" t="s">
        <v>122</v>
      </c>
      <c r="T4" s="54" t="s">
        <v>123</v>
      </c>
      <c r="U4" s="54" t="s">
        <v>124</v>
      </c>
      <c r="V4" s="54"/>
      <c r="W4" s="54" t="s">
        <v>125</v>
      </c>
      <c r="X4" s="54" t="s">
        <v>126</v>
      </c>
      <c r="Y4" s="54" t="s">
        <v>127</v>
      </c>
      <c r="Z4" s="54" t="s">
        <v>162</v>
      </c>
      <c r="AA4" s="54" t="s">
        <v>130</v>
      </c>
      <c r="AB4" s="54" t="s">
        <v>131</v>
      </c>
      <c r="AC4" s="54" t="s">
        <v>132</v>
      </c>
      <c r="AD4" s="54" t="s">
        <v>133</v>
      </c>
      <c r="AE4" s="223"/>
      <c r="AF4" s="53" t="s">
        <v>56</v>
      </c>
      <c r="AG4" s="53" t="s">
        <v>134</v>
      </c>
      <c r="AH4" s="53" t="s">
        <v>118</v>
      </c>
      <c r="AI4" s="53" t="s">
        <v>112</v>
      </c>
    </row>
    <row r="5" spans="1:35" ht="18.75">
      <c r="A5" s="40" t="s">
        <v>105</v>
      </c>
      <c r="B5" s="41">
        <v>359588.53896484687</v>
      </c>
      <c r="C5" s="2"/>
      <c r="D5" s="223">
        <v>1</v>
      </c>
      <c r="E5" s="224">
        <f>$B$5</f>
        <v>359588.53896484687</v>
      </c>
      <c r="F5" s="224">
        <f>B16*E5</f>
        <v>17979.426948242344</v>
      </c>
      <c r="G5" s="225">
        <v>575</v>
      </c>
      <c r="H5" s="224">
        <f>$B$11</f>
        <v>2000000</v>
      </c>
      <c r="I5" s="226">
        <f>AI5</f>
        <v>32.576474910026434</v>
      </c>
      <c r="J5" s="241">
        <f>H5*I5/1000</f>
        <v>65152.949820052869</v>
      </c>
      <c r="K5" s="228"/>
      <c r="L5" s="242">
        <v>2.7075232178825821E-3</v>
      </c>
      <c r="M5" s="243">
        <f>L5*1000</f>
        <v>2.7075232178825819</v>
      </c>
      <c r="N5" s="244">
        <f>B12</f>
        <v>9731</v>
      </c>
      <c r="O5" s="245">
        <f t="shared" ref="O5:O36" si="0">M5*N5/1000</f>
        <v>26.346908433215404</v>
      </c>
      <c r="P5" s="246">
        <f>N5-SUM(O5:O5)</f>
        <v>9704.6530915667845</v>
      </c>
      <c r="Q5" s="218"/>
      <c r="R5" s="235"/>
      <c r="S5" s="235"/>
      <c r="T5" s="235">
        <f>J5*P5</f>
        <v>632286775.89587164</v>
      </c>
      <c r="U5" s="235">
        <f t="shared" ref="U5:U36" si="1">$B$15*H5*P5</f>
        <v>194093061.83133569</v>
      </c>
      <c r="V5" s="218"/>
      <c r="W5" s="235">
        <f>$P5*E5</f>
        <v>3489682026.3571844</v>
      </c>
      <c r="X5" s="235">
        <f>-$P5*F5</f>
        <v>-174484101.31785923</v>
      </c>
      <c r="Y5" s="235">
        <f>-$P5*G5</f>
        <v>-5580175.5276509011</v>
      </c>
      <c r="Z5" s="235">
        <f t="shared" ref="Z5:Z36" si="2">-H5*O5</f>
        <v>-52693816.866430812</v>
      </c>
      <c r="AA5" s="235">
        <f t="shared" ref="AA5:AA36" si="3">SUM(W5:Z5)</f>
        <v>3256923932.6452436</v>
      </c>
      <c r="AB5" s="235">
        <f t="shared" ref="AB5:AB36" si="4">R5-T5</f>
        <v>-632286775.89587164</v>
      </c>
      <c r="AC5" s="235"/>
      <c r="AD5" s="235">
        <f>SUM(AA5:AC5)</f>
        <v>2624637156.749372</v>
      </c>
      <c r="AE5" s="228"/>
      <c r="AF5" s="223">
        <v>1</v>
      </c>
      <c r="AG5" s="247">
        <v>1</v>
      </c>
      <c r="AH5" s="247">
        <f t="shared" ref="AH5:AH36" si="5">M5*AG5/1000</f>
        <v>2.7075232178825821E-3</v>
      </c>
      <c r="AI5" s="248">
        <f>IFERROR((1000*NPV($AF$2,$AH5:$AH$90)-$AI$2*($AG5+NPV($AF$2,$AG6:$AG$90)))/AG5,0)</f>
        <v>32.576474910026434</v>
      </c>
    </row>
    <row r="6" spans="1:35" ht="18.75">
      <c r="A6" s="40" t="s">
        <v>136</v>
      </c>
      <c r="B6" s="98">
        <f>AD97</f>
        <v>431234271.06705904</v>
      </c>
      <c r="C6" s="2"/>
      <c r="D6" s="237">
        <f>D5+1</f>
        <v>2</v>
      </c>
      <c r="E6" s="224"/>
      <c r="F6" s="224"/>
      <c r="G6" s="225">
        <v>28.75</v>
      </c>
      <c r="H6" s="224">
        <f t="shared" ref="H6:H69" si="6">$B$11</f>
        <v>2000000</v>
      </c>
      <c r="I6" s="226">
        <f t="shared" ref="I6:I69" si="7">AI6</f>
        <v>46.640759431756891</v>
      </c>
      <c r="J6" s="241">
        <f t="shared" ref="J6:J36" si="8">H6*I6/1000</f>
        <v>93281.518863513789</v>
      </c>
      <c r="K6" s="226"/>
      <c r="L6" s="249">
        <v>2.861344534754901E-3</v>
      </c>
      <c r="M6" s="243">
        <f t="shared" ref="M6:M69" si="9">L6*1000</f>
        <v>2.8613445347549011</v>
      </c>
      <c r="N6" s="245">
        <f>P5</f>
        <v>9704.6530915667845</v>
      </c>
      <c r="O6" s="245">
        <f t="shared" si="0"/>
        <v>27.768356085246872</v>
      </c>
      <c r="P6" s="246">
        <f t="shared" ref="P6:P37" si="10">N6-O6</f>
        <v>9676.8847354815371</v>
      </c>
      <c r="Q6" s="250"/>
      <c r="R6" s="235">
        <f>T5</f>
        <v>632286775.89587164</v>
      </c>
      <c r="S6" s="235">
        <f>U5</f>
        <v>194093061.83133569</v>
      </c>
      <c r="T6" s="235">
        <f t="shared" ref="T6:T36" si="11">J6*P6</f>
        <v>902674505.99286962</v>
      </c>
      <c r="U6" s="235">
        <f t="shared" si="1"/>
        <v>193537694.70963073</v>
      </c>
      <c r="V6" s="250"/>
      <c r="W6" s="235">
        <v>0</v>
      </c>
      <c r="X6" s="235">
        <v>0</v>
      </c>
      <c r="Y6" s="235">
        <f t="shared" ref="Y6:Y37" si="12">-$P6*G6</f>
        <v>-278210.43614509417</v>
      </c>
      <c r="Z6" s="235">
        <f t="shared" si="2"/>
        <v>-55536712.170493744</v>
      </c>
      <c r="AA6" s="235">
        <f t="shared" si="3"/>
        <v>-55814922.606638841</v>
      </c>
      <c r="AB6" s="235">
        <f t="shared" si="4"/>
        <v>-270387730.09699798</v>
      </c>
      <c r="AC6" s="235">
        <f t="shared" ref="AC6:AC37" si="13">$B$13*SUM(R6:S6,W6:X6)</f>
        <v>37187092.697724327</v>
      </c>
      <c r="AD6" s="235">
        <f t="shared" ref="AD6:AD69" si="14">SUM(AA6:AC6)</f>
        <v>-289015560.00591248</v>
      </c>
      <c r="AE6" s="228"/>
      <c r="AF6" s="237">
        <f>AF5+1</f>
        <v>2</v>
      </c>
      <c r="AG6" s="247">
        <f>AG5-AH5</f>
        <v>0.99729247678211741</v>
      </c>
      <c r="AH6" s="247">
        <f t="shared" si="5"/>
        <v>2.8535973779926908E-3</v>
      </c>
      <c r="AI6" s="248">
        <f>IFERROR((1000*NPV($AF$2,$AH6:$AH$90)-$AI$2*($AG6+NPV($AF$2,$AG7:$AG$90)))/AG6,0)</f>
        <v>46.640759431756891</v>
      </c>
    </row>
    <row r="7" spans="1:35" ht="18.75">
      <c r="A7" s="40" t="s">
        <v>137</v>
      </c>
      <c r="B7" s="95">
        <f>IFERROR(AD97/W97*1000, "NA")</f>
        <v>123.57408721195628</v>
      </c>
      <c r="C7" s="26"/>
      <c r="D7" s="237">
        <f t="shared" ref="D7:D70" si="15">D6+1</f>
        <v>3</v>
      </c>
      <c r="E7" s="224"/>
      <c r="F7" s="224"/>
      <c r="G7" s="225">
        <v>28.75</v>
      </c>
      <c r="H7" s="224">
        <f t="shared" si="6"/>
        <v>2000000</v>
      </c>
      <c r="I7" s="226">
        <f t="shared" si="7"/>
        <v>61.162520121103455</v>
      </c>
      <c r="J7" s="241">
        <f t="shared" si="8"/>
        <v>122325.04024220692</v>
      </c>
      <c r="K7" s="226"/>
      <c r="L7" s="249">
        <v>3.020498033793229E-3</v>
      </c>
      <c r="M7" s="243">
        <f t="shared" si="9"/>
        <v>3.020498033793229</v>
      </c>
      <c r="N7" s="245">
        <f t="shared" ref="N7:N70" si="16">P6</f>
        <v>9676.8847354815371</v>
      </c>
      <c r="O7" s="245">
        <f t="shared" si="0"/>
        <v>29.229011316765693</v>
      </c>
      <c r="P7" s="246">
        <f t="shared" si="10"/>
        <v>9647.6557241647715</v>
      </c>
      <c r="Q7" s="250"/>
      <c r="R7" s="235">
        <f t="shared" ref="R7:S60" si="17">T6</f>
        <v>902674505.99286962</v>
      </c>
      <c r="S7" s="235">
        <f t="shared" si="17"/>
        <v>193537694.70963073</v>
      </c>
      <c r="T7" s="235">
        <f t="shared" si="11"/>
        <v>1180149874.7014136</v>
      </c>
      <c r="U7" s="235">
        <f t="shared" si="1"/>
        <v>192953114.48329544</v>
      </c>
      <c r="V7" s="250"/>
      <c r="W7" s="235">
        <v>0</v>
      </c>
      <c r="X7" s="235">
        <v>0</v>
      </c>
      <c r="Y7" s="235">
        <f t="shared" si="12"/>
        <v>-277370.10206973716</v>
      </c>
      <c r="Z7" s="235">
        <f t="shared" si="2"/>
        <v>-58458022.633531384</v>
      </c>
      <c r="AA7" s="235">
        <f t="shared" si="3"/>
        <v>-58735392.73560112</v>
      </c>
      <c r="AB7" s="235">
        <f t="shared" si="4"/>
        <v>-277475368.70854402</v>
      </c>
      <c r="AC7" s="235">
        <f t="shared" si="13"/>
        <v>49329549.031612515</v>
      </c>
      <c r="AD7" s="235">
        <f t="shared" si="14"/>
        <v>-286881212.41253263</v>
      </c>
      <c r="AE7" s="228"/>
      <c r="AF7" s="237">
        <f t="shared" ref="AF7:AF70" si="18">AF6+1</f>
        <v>3</v>
      </c>
      <c r="AG7" s="247">
        <f>AG6-AH6</f>
        <v>0.99443887940412468</v>
      </c>
      <c r="AH7" s="247">
        <f t="shared" si="5"/>
        <v>3.0037006799677008E-3</v>
      </c>
      <c r="AI7" s="248">
        <f>IFERROR((1000*NPV($AF$2,$AH7:$AH$90)-$AI$2*($AG7+NPV($AF$2,$AG8:$AG$90)))/AG7,0)</f>
        <v>61.162520121103455</v>
      </c>
    </row>
    <row r="8" spans="1:35">
      <c r="A8" s="36" t="s">
        <v>138</v>
      </c>
      <c r="B8" s="37" t="s">
        <v>139</v>
      </c>
      <c r="C8" s="26"/>
      <c r="D8" s="237">
        <f t="shared" si="15"/>
        <v>4</v>
      </c>
      <c r="E8" s="224"/>
      <c r="F8" s="224"/>
      <c r="G8" s="225">
        <v>28.75</v>
      </c>
      <c r="H8" s="224">
        <f t="shared" si="6"/>
        <v>2000000</v>
      </c>
      <c r="I8" s="226">
        <f t="shared" si="7"/>
        <v>76.161034952630928</v>
      </c>
      <c r="J8" s="241">
        <f t="shared" si="8"/>
        <v>152322.06990526186</v>
      </c>
      <c r="K8" s="226"/>
      <c r="L8" s="249">
        <v>3.1849914172939163E-3</v>
      </c>
      <c r="M8" s="243">
        <f t="shared" si="9"/>
        <v>3.1849914172939164</v>
      </c>
      <c r="N8" s="245">
        <f t="shared" si="16"/>
        <v>9647.6557241647715</v>
      </c>
      <c r="O8" s="245">
        <f t="shared" si="0"/>
        <v>30.727700678471322</v>
      </c>
      <c r="P8" s="246">
        <f t="shared" si="10"/>
        <v>9616.9280234862999</v>
      </c>
      <c r="Q8" s="250"/>
      <c r="R8" s="235">
        <f t="shared" si="17"/>
        <v>1180149874.7014136</v>
      </c>
      <c r="S8" s="235">
        <f t="shared" si="17"/>
        <v>192953114.48329544</v>
      </c>
      <c r="T8" s="235">
        <f t="shared" si="11"/>
        <v>1464870382.667352</v>
      </c>
      <c r="U8" s="235">
        <f t="shared" si="1"/>
        <v>192338560.469726</v>
      </c>
      <c r="V8" s="250"/>
      <c r="W8" s="235">
        <v>0</v>
      </c>
      <c r="X8" s="235">
        <v>0</v>
      </c>
      <c r="Y8" s="235">
        <f t="shared" si="12"/>
        <v>-276486.68067523109</v>
      </c>
      <c r="Z8" s="235">
        <f t="shared" si="2"/>
        <v>-61455401.356942646</v>
      </c>
      <c r="AA8" s="235">
        <f t="shared" si="3"/>
        <v>-61731888.037617877</v>
      </c>
      <c r="AB8" s="235">
        <f t="shared" si="4"/>
        <v>-284720507.96593833</v>
      </c>
      <c r="AC8" s="235">
        <f t="shared" si="13"/>
        <v>61789634.513311908</v>
      </c>
      <c r="AD8" s="235">
        <f t="shared" si="14"/>
        <v>-284662761.49024427</v>
      </c>
      <c r="AE8" s="228"/>
      <c r="AF8" s="237">
        <f t="shared" si="18"/>
        <v>4</v>
      </c>
      <c r="AG8" s="247">
        <f t="shared" ref="AG8:AG71" si="19">AG7-AH7</f>
        <v>0.99143517872415698</v>
      </c>
      <c r="AH8" s="247">
        <f t="shared" si="5"/>
        <v>3.1577125350397001E-3</v>
      </c>
      <c r="AI8" s="248">
        <f>IFERROR((1000*NPV($AF$2,$AH8:$AH$90)-$AI$2*($AG8+NPV($AF$2,$AG9:$AG$90)))/AG8,0)</f>
        <v>76.161034952630928</v>
      </c>
    </row>
    <row r="9" spans="1:35">
      <c r="A9" s="36" t="s">
        <v>140</v>
      </c>
      <c r="B9" s="37" t="s">
        <v>141</v>
      </c>
      <c r="C9" s="26"/>
      <c r="D9" s="237">
        <f t="shared" si="15"/>
        <v>5</v>
      </c>
      <c r="E9" s="224"/>
      <c r="F9" s="224"/>
      <c r="G9" s="225">
        <v>28.75</v>
      </c>
      <c r="H9" s="224">
        <f t="shared" si="6"/>
        <v>2000000</v>
      </c>
      <c r="I9" s="226">
        <f t="shared" si="7"/>
        <v>91.656879110897236</v>
      </c>
      <c r="J9" s="241">
        <f t="shared" si="8"/>
        <v>183313.75822179447</v>
      </c>
      <c r="K9" s="226"/>
      <c r="L9" s="249">
        <v>3.5239790823866387E-3</v>
      </c>
      <c r="M9" s="243">
        <f t="shared" si="9"/>
        <v>3.5239790823866386</v>
      </c>
      <c r="N9" s="245">
        <f t="shared" si="16"/>
        <v>9616.9280234862999</v>
      </c>
      <c r="O9" s="245">
        <f t="shared" si="0"/>
        <v>33.889853191583597</v>
      </c>
      <c r="P9" s="246">
        <f t="shared" si="10"/>
        <v>9583.0381702947161</v>
      </c>
      <c r="Q9" s="250"/>
      <c r="R9" s="235">
        <f t="shared" si="17"/>
        <v>1464870382.667352</v>
      </c>
      <c r="S9" s="235">
        <f t="shared" si="17"/>
        <v>192338560.469726</v>
      </c>
      <c r="T9" s="235">
        <f t="shared" si="11"/>
        <v>1756702742.1796334</v>
      </c>
      <c r="U9" s="235">
        <f t="shared" si="1"/>
        <v>191660763.40589431</v>
      </c>
      <c r="V9" s="250"/>
      <c r="W9" s="235">
        <v>0</v>
      </c>
      <c r="X9" s="235">
        <v>0</v>
      </c>
      <c r="Y9" s="235">
        <f t="shared" si="12"/>
        <v>-275512.34739597311</v>
      </c>
      <c r="Z9" s="235">
        <f t="shared" si="2"/>
        <v>-67779706.383167192</v>
      </c>
      <c r="AA9" s="235">
        <f t="shared" si="3"/>
        <v>-68055218.730563164</v>
      </c>
      <c r="AB9" s="235">
        <f t="shared" si="4"/>
        <v>-291832359.51228142</v>
      </c>
      <c r="AC9" s="235">
        <f t="shared" si="13"/>
        <v>74574402.441168502</v>
      </c>
      <c r="AD9" s="235">
        <f t="shared" si="14"/>
        <v>-285313175.80167609</v>
      </c>
      <c r="AE9" s="228"/>
      <c r="AF9" s="237">
        <f t="shared" si="18"/>
        <v>5</v>
      </c>
      <c r="AG9" s="247">
        <f t="shared" si="19"/>
        <v>0.98827746618911727</v>
      </c>
      <c r="AH9" s="247">
        <f t="shared" si="5"/>
        <v>3.482669118444518E-3</v>
      </c>
      <c r="AI9" s="248">
        <f>IFERROR((1000*NPV($AF$2,$AH9:$AH$90)-$AI$2*($AG9+NPV($AF$2,$AG10:$AG$90)))/AG9,0)</f>
        <v>91.656879110897236</v>
      </c>
    </row>
    <row r="10" spans="1:35">
      <c r="A10" s="36" t="s">
        <v>163</v>
      </c>
      <c r="B10" s="37">
        <v>62</v>
      </c>
      <c r="C10" s="26"/>
      <c r="D10" s="237">
        <f t="shared" si="15"/>
        <v>6</v>
      </c>
      <c r="E10" s="224"/>
      <c r="F10" s="224"/>
      <c r="G10" s="225">
        <v>28.75</v>
      </c>
      <c r="H10" s="224">
        <f t="shared" si="6"/>
        <v>2000000</v>
      </c>
      <c r="I10" s="226">
        <f t="shared" si="7"/>
        <v>107.52054314205633</v>
      </c>
      <c r="J10" s="241">
        <f t="shared" si="8"/>
        <v>215041.08628411265</v>
      </c>
      <c r="K10" s="226"/>
      <c r="L10" s="249">
        <v>3.8990461656093606E-3</v>
      </c>
      <c r="M10" s="243">
        <f t="shared" si="9"/>
        <v>3.8990461656093607</v>
      </c>
      <c r="N10" s="245">
        <f t="shared" si="16"/>
        <v>9583.0381702947161</v>
      </c>
      <c r="O10" s="245">
        <f t="shared" si="0"/>
        <v>37.364708232775762</v>
      </c>
      <c r="P10" s="246">
        <f t="shared" si="10"/>
        <v>9545.6734620619409</v>
      </c>
      <c r="Q10" s="250"/>
      <c r="R10" s="235">
        <f t="shared" si="17"/>
        <v>1756702742.1796334</v>
      </c>
      <c r="S10" s="235">
        <f t="shared" si="17"/>
        <v>191660763.40589431</v>
      </c>
      <c r="T10" s="235">
        <f t="shared" si="11"/>
        <v>2052711990.595226</v>
      </c>
      <c r="U10" s="235">
        <f t="shared" si="1"/>
        <v>190913469.24123883</v>
      </c>
      <c r="V10" s="250"/>
      <c r="W10" s="235">
        <v>0</v>
      </c>
      <c r="X10" s="235">
        <v>0</v>
      </c>
      <c r="Y10" s="235">
        <f t="shared" si="12"/>
        <v>-274438.11203428078</v>
      </c>
      <c r="Z10" s="235">
        <f t="shared" si="2"/>
        <v>-74729416.465551525</v>
      </c>
      <c r="AA10" s="235">
        <f t="shared" si="3"/>
        <v>-75003854.577585801</v>
      </c>
      <c r="AB10" s="235">
        <f t="shared" si="4"/>
        <v>-296009248.41559267</v>
      </c>
      <c r="AC10" s="235">
        <f t="shared" si="13"/>
        <v>87676357.751348749</v>
      </c>
      <c r="AD10" s="235">
        <f t="shared" si="14"/>
        <v>-283336745.24182975</v>
      </c>
      <c r="AE10" s="228"/>
      <c r="AF10" s="237">
        <f t="shared" si="18"/>
        <v>6</v>
      </c>
      <c r="AG10" s="247">
        <f t="shared" si="19"/>
        <v>0.98479479707067274</v>
      </c>
      <c r="AH10" s="247">
        <f t="shared" si="5"/>
        <v>3.8397603774304552E-3</v>
      </c>
      <c r="AI10" s="248">
        <f>IFERROR((1000*NPV($AF$2,$AH10:$AH$90)-$AI$2*($AG10+NPV($AF$2,$AG11:$AG$90)))/AG10,0)</f>
        <v>107.52054314205633</v>
      </c>
    </row>
    <row r="11" spans="1:35">
      <c r="A11" s="36" t="s">
        <v>143</v>
      </c>
      <c r="B11" s="96">
        <v>2000000</v>
      </c>
      <c r="C11" s="26"/>
      <c r="D11" s="237">
        <f t="shared" si="15"/>
        <v>7</v>
      </c>
      <c r="E11" s="224"/>
      <c r="F11" s="224"/>
      <c r="G11" s="225">
        <v>28.75</v>
      </c>
      <c r="H11" s="224">
        <f t="shared" si="6"/>
        <v>2000000</v>
      </c>
      <c r="I11" s="226">
        <f t="shared" si="7"/>
        <v>123.74728287507884</v>
      </c>
      <c r="J11" s="241">
        <f t="shared" si="8"/>
        <v>247494.56575015769</v>
      </c>
      <c r="K11" s="226"/>
      <c r="L11" s="249">
        <v>4.3140327017086137E-3</v>
      </c>
      <c r="M11" s="243">
        <f t="shared" si="9"/>
        <v>4.314032701708614</v>
      </c>
      <c r="N11" s="245">
        <f t="shared" si="16"/>
        <v>9545.6734620619409</v>
      </c>
      <c r="O11" s="245">
        <f t="shared" si="0"/>
        <v>41.180347475167288</v>
      </c>
      <c r="P11" s="246">
        <f t="shared" si="10"/>
        <v>9504.493114586774</v>
      </c>
      <c r="Q11" s="250"/>
      <c r="R11" s="235">
        <f t="shared" si="17"/>
        <v>2052711990.595226</v>
      </c>
      <c r="S11" s="235">
        <f t="shared" si="17"/>
        <v>190913469.24123883</v>
      </c>
      <c r="T11" s="235">
        <f t="shared" si="11"/>
        <v>2352310396.0700173</v>
      </c>
      <c r="U11" s="235">
        <f t="shared" si="1"/>
        <v>190089862.29173547</v>
      </c>
      <c r="V11" s="250"/>
      <c r="W11" s="235">
        <v>0</v>
      </c>
      <c r="X11" s="235">
        <v>0</v>
      </c>
      <c r="Y11" s="235">
        <f t="shared" si="12"/>
        <v>-273254.17704436975</v>
      </c>
      <c r="Z11" s="235">
        <f t="shared" si="2"/>
        <v>-82360694.950334579</v>
      </c>
      <c r="AA11" s="235">
        <f t="shared" si="3"/>
        <v>-82633949.127378955</v>
      </c>
      <c r="AB11" s="235">
        <f t="shared" si="4"/>
        <v>-299598405.47479129</v>
      </c>
      <c r="AC11" s="235">
        <f t="shared" si="13"/>
        <v>100963145.69264092</v>
      </c>
      <c r="AD11" s="235">
        <f t="shared" si="14"/>
        <v>-281269208.90952933</v>
      </c>
      <c r="AE11" s="228"/>
      <c r="AF11" s="237">
        <f t="shared" si="18"/>
        <v>7</v>
      </c>
      <c r="AG11" s="247">
        <f t="shared" si="19"/>
        <v>0.98095503669324224</v>
      </c>
      <c r="AH11" s="247">
        <f t="shared" si="5"/>
        <v>4.2318721072004198E-3</v>
      </c>
      <c r="AI11" s="248">
        <f>IFERROR((1000*NPV($AF$2,$AH11:$AH$90)-$AI$2*($AG11+NPV($AF$2,$AG12:$AG$90)))/AG11,0)</f>
        <v>123.74728287507884</v>
      </c>
    </row>
    <row r="12" spans="1:35">
      <c r="A12" s="36" t="s">
        <v>144</v>
      </c>
      <c r="B12" s="96">
        <v>9731</v>
      </c>
      <c r="C12" s="26"/>
      <c r="D12" s="237">
        <f t="shared" si="15"/>
        <v>8</v>
      </c>
      <c r="E12" s="224"/>
      <c r="F12" s="224"/>
      <c r="G12" s="225">
        <v>28.75</v>
      </c>
      <c r="H12" s="224">
        <f t="shared" si="6"/>
        <v>2000000</v>
      </c>
      <c r="I12" s="226">
        <f t="shared" si="7"/>
        <v>140.3310018234539</v>
      </c>
      <c r="J12" s="241">
        <f t="shared" si="8"/>
        <v>280662.0036469078</v>
      </c>
      <c r="K12" s="226"/>
      <c r="L12" s="249">
        <v>4.7731874312144018E-3</v>
      </c>
      <c r="M12" s="243">
        <f t="shared" si="9"/>
        <v>4.773187431214402</v>
      </c>
      <c r="N12" s="245">
        <f t="shared" si="16"/>
        <v>9504.493114586774</v>
      </c>
      <c r="O12" s="245">
        <f t="shared" si="0"/>
        <v>45.366727074609415</v>
      </c>
      <c r="P12" s="246">
        <f t="shared" si="10"/>
        <v>9459.126387512164</v>
      </c>
      <c r="Q12" s="250"/>
      <c r="R12" s="235">
        <f t="shared" si="17"/>
        <v>2352310396.0700173</v>
      </c>
      <c r="S12" s="235">
        <f t="shared" si="17"/>
        <v>190089862.29173547</v>
      </c>
      <c r="T12" s="235">
        <f t="shared" si="11"/>
        <v>2654817364.6685009</v>
      </c>
      <c r="U12" s="235">
        <f t="shared" si="1"/>
        <v>189182527.75024328</v>
      </c>
      <c r="V12" s="250"/>
      <c r="W12" s="235">
        <v>0</v>
      </c>
      <c r="X12" s="235">
        <v>0</v>
      </c>
      <c r="Y12" s="235">
        <f t="shared" si="12"/>
        <v>-271949.8836409747</v>
      </c>
      <c r="Z12" s="235">
        <f t="shared" si="2"/>
        <v>-90733454.149218827</v>
      </c>
      <c r="AA12" s="235">
        <f t="shared" si="3"/>
        <v>-91005404.032859802</v>
      </c>
      <c r="AB12" s="235">
        <f t="shared" si="4"/>
        <v>-302506968.59848356</v>
      </c>
      <c r="AC12" s="235">
        <f t="shared" si="13"/>
        <v>114408011.62627888</v>
      </c>
      <c r="AD12" s="235">
        <f t="shared" si="14"/>
        <v>-279104361.00506449</v>
      </c>
      <c r="AE12" s="228"/>
      <c r="AF12" s="237">
        <f t="shared" si="18"/>
        <v>8</v>
      </c>
      <c r="AG12" s="247">
        <f t="shared" si="19"/>
        <v>0.9767231645860418</v>
      </c>
      <c r="AH12" s="247">
        <f t="shared" si="5"/>
        <v>4.6620827329780503E-3</v>
      </c>
      <c r="AI12" s="248">
        <f>IFERROR((1000*NPV($AF$2,$AH12:$AH$90)-$AI$2*($AG12+NPV($AF$2,$AG13:$AG$90)))/AG12,0)</f>
        <v>140.3310018234539</v>
      </c>
    </row>
    <row r="13" spans="1:35">
      <c r="A13" s="33" t="s">
        <v>145</v>
      </c>
      <c r="B13" s="35">
        <f>'Inputs &amp; Results'!B10</f>
        <v>4.4999999999999998E-2</v>
      </c>
      <c r="C13" s="26"/>
      <c r="D13" s="237">
        <f t="shared" si="15"/>
        <v>9</v>
      </c>
      <c r="E13" s="224"/>
      <c r="F13" s="224"/>
      <c r="G13" s="225">
        <v>28.75</v>
      </c>
      <c r="H13" s="224">
        <f t="shared" si="6"/>
        <v>2000000</v>
      </c>
      <c r="I13" s="226">
        <f t="shared" si="7"/>
        <v>157.26417364635751</v>
      </c>
      <c r="J13" s="241">
        <f t="shared" si="8"/>
        <v>314528.34729271499</v>
      </c>
      <c r="K13" s="226"/>
      <c r="L13" s="249">
        <v>5.2812113001553295E-3</v>
      </c>
      <c r="M13" s="243">
        <f t="shared" si="9"/>
        <v>5.2812113001553298</v>
      </c>
      <c r="N13" s="245">
        <f t="shared" si="16"/>
        <v>9459.126387512164</v>
      </c>
      <c r="O13" s="245">
        <f t="shared" si="0"/>
        <v>49.955645167326701</v>
      </c>
      <c r="P13" s="246">
        <f t="shared" si="10"/>
        <v>9409.170742344837</v>
      </c>
      <c r="Q13" s="250"/>
      <c r="R13" s="235">
        <f t="shared" si="17"/>
        <v>2654817364.6685009</v>
      </c>
      <c r="S13" s="235">
        <f t="shared" si="17"/>
        <v>189182527.75024328</v>
      </c>
      <c r="T13" s="235">
        <f t="shared" si="11"/>
        <v>2959450922.9846897</v>
      </c>
      <c r="U13" s="235">
        <f t="shared" si="1"/>
        <v>188183414.84689674</v>
      </c>
      <c r="V13" s="250"/>
      <c r="W13" s="235">
        <v>0</v>
      </c>
      <c r="X13" s="235">
        <v>0</v>
      </c>
      <c r="Y13" s="235">
        <f t="shared" si="12"/>
        <v>-270513.65884241404</v>
      </c>
      <c r="Z13" s="235">
        <f t="shared" si="2"/>
        <v>-99911290.334653407</v>
      </c>
      <c r="AA13" s="235">
        <f t="shared" si="3"/>
        <v>-100181803.99349582</v>
      </c>
      <c r="AB13" s="235">
        <f t="shared" si="4"/>
        <v>-304633558.31618881</v>
      </c>
      <c r="AC13" s="235">
        <f t="shared" si="13"/>
        <v>127979995.15884347</v>
      </c>
      <c r="AD13" s="235">
        <f t="shared" si="14"/>
        <v>-276835367.15084118</v>
      </c>
      <c r="AE13" s="228"/>
      <c r="AF13" s="237">
        <f t="shared" si="18"/>
        <v>9</v>
      </c>
      <c r="AG13" s="247">
        <f t="shared" si="19"/>
        <v>0.97206108185306372</v>
      </c>
      <c r="AH13" s="247">
        <f t="shared" si="5"/>
        <v>5.133659969923615E-3</v>
      </c>
      <c r="AI13" s="248">
        <f>IFERROR((1000*NPV($AF$2,$AH13:$AH$90)-$AI$2*($AG13+NPV($AF$2,$AG14:$AG$90)))/AG13,0)</f>
        <v>157.26417364635751</v>
      </c>
    </row>
    <row r="14" spans="1:35">
      <c r="A14" s="33" t="s">
        <v>146</v>
      </c>
      <c r="B14" s="35">
        <f>'Inputs &amp; Results'!B9</f>
        <v>0.10829999999999998</v>
      </c>
      <c r="C14" s="26"/>
      <c r="D14" s="237">
        <f t="shared" si="15"/>
        <v>10</v>
      </c>
      <c r="E14" s="224"/>
      <c r="F14" s="224"/>
      <c r="G14" s="225">
        <v>28.75</v>
      </c>
      <c r="H14" s="224">
        <f t="shared" si="6"/>
        <v>2000000</v>
      </c>
      <c r="I14" s="226">
        <f t="shared" si="7"/>
        <v>174.53776792849499</v>
      </c>
      <c r="J14" s="241">
        <f t="shared" si="8"/>
        <v>349075.53585698997</v>
      </c>
      <c r="K14" s="226"/>
      <c r="L14" s="249">
        <v>5.8433055895716676E-3</v>
      </c>
      <c r="M14" s="243">
        <f t="shared" si="9"/>
        <v>5.8433055895716679</v>
      </c>
      <c r="N14" s="245">
        <f t="shared" si="16"/>
        <v>9409.170742344837</v>
      </c>
      <c r="O14" s="245">
        <f t="shared" si="0"/>
        <v>54.980659991977788</v>
      </c>
      <c r="P14" s="246">
        <f t="shared" si="10"/>
        <v>9354.1900823528595</v>
      </c>
      <c r="Q14" s="250"/>
      <c r="R14" s="235">
        <f t="shared" si="17"/>
        <v>2959450922.9846897</v>
      </c>
      <c r="S14" s="235">
        <f t="shared" si="17"/>
        <v>188183414.84689674</v>
      </c>
      <c r="T14" s="235">
        <f t="shared" si="11"/>
        <v>3265318915.5054655</v>
      </c>
      <c r="U14" s="235">
        <f t="shared" si="1"/>
        <v>187083801.64705718</v>
      </c>
      <c r="V14" s="250"/>
      <c r="W14" s="235">
        <v>0</v>
      </c>
      <c r="X14" s="235">
        <v>0</v>
      </c>
      <c r="Y14" s="235">
        <f t="shared" si="12"/>
        <v>-268932.96486764471</v>
      </c>
      <c r="Z14" s="235">
        <f t="shared" si="2"/>
        <v>-109961319.98395558</v>
      </c>
      <c r="AA14" s="235">
        <f t="shared" si="3"/>
        <v>-110230252.94882323</v>
      </c>
      <c r="AB14" s="235">
        <f t="shared" si="4"/>
        <v>-305867992.52077579</v>
      </c>
      <c r="AC14" s="235">
        <f t="shared" si="13"/>
        <v>141643545.20242137</v>
      </c>
      <c r="AD14" s="235">
        <f t="shared" si="14"/>
        <v>-274454700.26717764</v>
      </c>
      <c r="AE14" s="228"/>
      <c r="AF14" s="237">
        <f t="shared" si="18"/>
        <v>10</v>
      </c>
      <c r="AG14" s="247">
        <f t="shared" si="19"/>
        <v>0.96692742188314007</v>
      </c>
      <c r="AH14" s="247">
        <f t="shared" si="5"/>
        <v>5.6500524089998748E-3</v>
      </c>
      <c r="AI14" s="248">
        <f>IFERROR((1000*NPV($AF$2,$AH14:$AH$90)-$AI$2*($AG14+NPV($AF$2,$AG15:$AG$90)))/AG14,0)</f>
        <v>174.53776792849499</v>
      </c>
    </row>
    <row r="15" spans="1:35">
      <c r="A15" s="33" t="s">
        <v>147</v>
      </c>
      <c r="B15" s="39">
        <v>0.01</v>
      </c>
      <c r="C15" s="26"/>
      <c r="D15" s="237">
        <f t="shared" si="15"/>
        <v>11</v>
      </c>
      <c r="E15" s="224"/>
      <c r="F15" s="224"/>
      <c r="G15" s="225">
        <v>28.75</v>
      </c>
      <c r="H15" s="224">
        <f t="shared" si="6"/>
        <v>2000000</v>
      </c>
      <c r="I15" s="226">
        <f t="shared" si="7"/>
        <v>192.14118049418246</v>
      </c>
      <c r="J15" s="241">
        <f t="shared" si="8"/>
        <v>384282.36098836496</v>
      </c>
      <c r="K15" s="226"/>
      <c r="L15" s="249">
        <v>6.4652251675889694E-3</v>
      </c>
      <c r="M15" s="243">
        <f t="shared" si="9"/>
        <v>6.4652251675889696</v>
      </c>
      <c r="N15" s="245">
        <f t="shared" si="16"/>
        <v>9354.1900823528595</v>
      </c>
      <c r="O15" s="245">
        <f t="shared" si="0"/>
        <v>60.476945142838844</v>
      </c>
      <c r="P15" s="246">
        <f t="shared" si="10"/>
        <v>9293.7131372100212</v>
      </c>
      <c r="Q15" s="250"/>
      <c r="R15" s="235">
        <f t="shared" si="17"/>
        <v>3265318915.5054655</v>
      </c>
      <c r="S15" s="235">
        <f t="shared" si="17"/>
        <v>187083801.64705718</v>
      </c>
      <c r="T15" s="235">
        <f t="shared" si="11"/>
        <v>3571410026.715651</v>
      </c>
      <c r="U15" s="235">
        <f t="shared" si="1"/>
        <v>185874262.74420041</v>
      </c>
      <c r="V15" s="250"/>
      <c r="W15" s="235">
        <v>0</v>
      </c>
      <c r="X15" s="235">
        <v>0</v>
      </c>
      <c r="Y15" s="235">
        <f t="shared" si="12"/>
        <v>-267194.2526947881</v>
      </c>
      <c r="Z15" s="235">
        <f t="shared" si="2"/>
        <v>-120953890.28567769</v>
      </c>
      <c r="AA15" s="235">
        <f t="shared" si="3"/>
        <v>-121221084.53837247</v>
      </c>
      <c r="AB15" s="235">
        <f t="shared" si="4"/>
        <v>-306091111.21018553</v>
      </c>
      <c r="AC15" s="235">
        <f t="shared" si="13"/>
        <v>155358122.27186352</v>
      </c>
      <c r="AD15" s="235">
        <f t="shared" si="14"/>
        <v>-271954073.47669446</v>
      </c>
      <c r="AE15" s="228"/>
      <c r="AF15" s="237">
        <f t="shared" si="18"/>
        <v>11</v>
      </c>
      <c r="AG15" s="247">
        <f t="shared" si="19"/>
        <v>0.96127736947414022</v>
      </c>
      <c r="AH15" s="247">
        <f t="shared" si="5"/>
        <v>6.2148746421579323E-3</v>
      </c>
      <c r="AI15" s="248">
        <f>IFERROR((1000*NPV($AF$2,$AH15:$AH$90)-$AI$2*($AG15+NPV($AF$2,$AG16:$AG$90)))/AG15,0)</f>
        <v>192.14118049418246</v>
      </c>
    </row>
    <row r="16" spans="1:35">
      <c r="A16" s="33" t="s">
        <v>148</v>
      </c>
      <c r="B16" s="51">
        <v>0.05</v>
      </c>
      <c r="C16" s="26"/>
      <c r="D16" s="237">
        <f t="shared" si="15"/>
        <v>12</v>
      </c>
      <c r="E16" s="224"/>
      <c r="F16" s="224"/>
      <c r="G16" s="225">
        <v>28.75</v>
      </c>
      <c r="H16" s="224">
        <f t="shared" si="6"/>
        <v>2000000</v>
      </c>
      <c r="I16" s="226">
        <f t="shared" si="7"/>
        <v>210.06216957601242</v>
      </c>
      <c r="J16" s="241">
        <f t="shared" si="8"/>
        <v>420124.33915202488</v>
      </c>
      <c r="K16" s="226"/>
      <c r="L16" s="249">
        <v>7.1533374092608059E-3</v>
      </c>
      <c r="M16" s="243">
        <f t="shared" si="9"/>
        <v>7.1533374092608062</v>
      </c>
      <c r="N16" s="245">
        <f t="shared" si="16"/>
        <v>9293.7131372100212</v>
      </c>
      <c r="O16" s="245">
        <f t="shared" si="0"/>
        <v>66.481065855343061</v>
      </c>
      <c r="P16" s="246">
        <f t="shared" si="10"/>
        <v>9227.2320713546778</v>
      </c>
      <c r="Q16" s="250"/>
      <c r="R16" s="235">
        <f t="shared" si="17"/>
        <v>3571410026.715651</v>
      </c>
      <c r="S16" s="235">
        <f t="shared" si="17"/>
        <v>185874262.74420041</v>
      </c>
      <c r="T16" s="235">
        <f t="shared" si="11"/>
        <v>3876584776.180254</v>
      </c>
      <c r="U16" s="235">
        <f t="shared" si="1"/>
        <v>184544641.42709357</v>
      </c>
      <c r="V16" s="250"/>
      <c r="W16" s="235">
        <v>0</v>
      </c>
      <c r="X16" s="235">
        <v>0</v>
      </c>
      <c r="Y16" s="235">
        <f t="shared" si="12"/>
        <v>-265282.92205144698</v>
      </c>
      <c r="Z16" s="235">
        <f t="shared" si="2"/>
        <v>-132962131.71068612</v>
      </c>
      <c r="AA16" s="235">
        <f t="shared" si="3"/>
        <v>-133227414.63273756</v>
      </c>
      <c r="AB16" s="235">
        <f t="shared" si="4"/>
        <v>-305174749.46460295</v>
      </c>
      <c r="AC16" s="235">
        <f t="shared" si="13"/>
        <v>169077793.0256933</v>
      </c>
      <c r="AD16" s="235">
        <f t="shared" si="14"/>
        <v>-269324371.07164723</v>
      </c>
      <c r="AE16" s="228"/>
      <c r="AF16" s="237">
        <f t="shared" si="18"/>
        <v>12</v>
      </c>
      <c r="AG16" s="247">
        <f t="shared" si="19"/>
        <v>0.95506249483198224</v>
      </c>
      <c r="AH16" s="247">
        <f t="shared" si="5"/>
        <v>6.8318842724635741E-3</v>
      </c>
      <c r="AI16" s="248">
        <f>IFERROR((1000*NPV($AF$2,$AH16:$AH$90)-$AI$2*($AG16+NPV($AF$2,$AG17:$AG$90)))/AG16,0)</f>
        <v>210.06216957601242</v>
      </c>
    </row>
    <row r="17" spans="1:35">
      <c r="A17" s="52" t="s">
        <v>151</v>
      </c>
      <c r="B17" s="33"/>
      <c r="C17" s="26"/>
      <c r="D17" s="237">
        <f t="shared" si="15"/>
        <v>13</v>
      </c>
      <c r="E17" s="224"/>
      <c r="F17" s="224"/>
      <c r="G17" s="225">
        <v>28.75</v>
      </c>
      <c r="H17" s="224">
        <f t="shared" si="6"/>
        <v>2000000</v>
      </c>
      <c r="I17" s="226">
        <f t="shared" si="7"/>
        <v>228.28679925509456</v>
      </c>
      <c r="J17" s="241">
        <f t="shared" si="8"/>
        <v>456573.5985101891</v>
      </c>
      <c r="K17" s="226"/>
      <c r="L17" s="249">
        <v>7.9146873874174264E-3</v>
      </c>
      <c r="M17" s="243">
        <f t="shared" si="9"/>
        <v>7.9146873874174259</v>
      </c>
      <c r="N17" s="245">
        <f t="shared" si="16"/>
        <v>9227.2320713546778</v>
      </c>
      <c r="O17" s="245">
        <f t="shared" si="0"/>
        <v>73.030657295924442</v>
      </c>
      <c r="P17" s="246">
        <f t="shared" si="10"/>
        <v>9154.2014140587526</v>
      </c>
      <c r="Q17" s="250"/>
      <c r="R17" s="235">
        <f t="shared" si="17"/>
        <v>3876584776.180254</v>
      </c>
      <c r="S17" s="235">
        <f t="shared" si="17"/>
        <v>184544641.42709357</v>
      </c>
      <c r="T17" s="235">
        <f t="shared" si="11"/>
        <v>4179566681.1038661</v>
      </c>
      <c r="U17" s="235">
        <f t="shared" si="1"/>
        <v>183084028.28117505</v>
      </c>
      <c r="V17" s="250"/>
      <c r="W17" s="235">
        <v>0</v>
      </c>
      <c r="X17" s="235">
        <v>0</v>
      </c>
      <c r="Y17" s="235">
        <f t="shared" si="12"/>
        <v>-263183.29065418913</v>
      </c>
      <c r="Z17" s="235">
        <f t="shared" si="2"/>
        <v>-146061314.59184888</v>
      </c>
      <c r="AA17" s="235">
        <f t="shared" si="3"/>
        <v>-146324497.88250306</v>
      </c>
      <c r="AB17" s="235">
        <f t="shared" si="4"/>
        <v>-302981904.92361212</v>
      </c>
      <c r="AC17" s="235">
        <f t="shared" si="13"/>
        <v>182750823.79233062</v>
      </c>
      <c r="AD17" s="235">
        <f t="shared" si="14"/>
        <v>-266555579.01378453</v>
      </c>
      <c r="AE17" s="228"/>
      <c r="AF17" s="237">
        <f t="shared" si="18"/>
        <v>13</v>
      </c>
      <c r="AG17" s="247">
        <f t="shared" si="19"/>
        <v>0.94823061055951863</v>
      </c>
      <c r="AH17" s="247">
        <f t="shared" si="5"/>
        <v>7.5049488537585474E-3</v>
      </c>
      <c r="AI17" s="248">
        <f>IFERROR((1000*NPV($AF$2,$AH17:$AH$90)-$AI$2*($AG17+NPV($AF$2,$AG18:$AG$90)))/AG17,0)</f>
        <v>228.28679925509456</v>
      </c>
    </row>
    <row r="18" spans="1:35">
      <c r="A18" s="33" t="s">
        <v>152</v>
      </c>
      <c r="B18" s="114">
        <f>'Inputs &amp; Results'!B13</f>
        <v>2177.5</v>
      </c>
      <c r="C18" s="26"/>
      <c r="D18" s="237">
        <f t="shared" si="15"/>
        <v>14</v>
      </c>
      <c r="E18" s="224"/>
      <c r="F18" s="224"/>
      <c r="G18" s="225">
        <v>28.75</v>
      </c>
      <c r="H18" s="224">
        <f t="shared" si="6"/>
        <v>2000000</v>
      </c>
      <c r="I18" s="226">
        <f t="shared" si="7"/>
        <v>246.79939167454057</v>
      </c>
      <c r="J18" s="241">
        <f t="shared" si="8"/>
        <v>493598.78334908118</v>
      </c>
      <c r="K18" s="226"/>
      <c r="L18" s="249">
        <v>8.757070001961173E-3</v>
      </c>
      <c r="M18" s="243">
        <f t="shared" si="9"/>
        <v>8.7570700019611731</v>
      </c>
      <c r="N18" s="245">
        <f t="shared" si="16"/>
        <v>9154.2014140587526</v>
      </c>
      <c r="O18" s="245">
        <f t="shared" si="0"/>
        <v>80.163982594964452</v>
      </c>
      <c r="P18" s="246">
        <f t="shared" si="10"/>
        <v>9074.0374314637884</v>
      </c>
      <c r="Q18" s="250"/>
      <c r="R18" s="235">
        <f t="shared" si="17"/>
        <v>4179566681.1038661</v>
      </c>
      <c r="S18" s="235">
        <f t="shared" si="17"/>
        <v>183084028.28117505</v>
      </c>
      <c r="T18" s="235">
        <f t="shared" si="11"/>
        <v>4478933836.2345476</v>
      </c>
      <c r="U18" s="235">
        <f t="shared" si="1"/>
        <v>181480748.62927577</v>
      </c>
      <c r="V18" s="250"/>
      <c r="W18" s="235">
        <v>0</v>
      </c>
      <c r="X18" s="235">
        <v>0</v>
      </c>
      <c r="Y18" s="235">
        <f t="shared" si="12"/>
        <v>-260878.57615458392</v>
      </c>
      <c r="Z18" s="235">
        <f t="shared" si="2"/>
        <v>-160327965.18992889</v>
      </c>
      <c r="AA18" s="235">
        <f t="shared" si="3"/>
        <v>-160588843.76608348</v>
      </c>
      <c r="AB18" s="235">
        <f t="shared" si="4"/>
        <v>-299367155.13068151</v>
      </c>
      <c r="AC18" s="235">
        <f t="shared" si="13"/>
        <v>196319281.92232686</v>
      </c>
      <c r="AD18" s="235">
        <f t="shared" si="14"/>
        <v>-263636716.97443813</v>
      </c>
      <c r="AE18" s="228"/>
      <c r="AF18" s="237">
        <f t="shared" si="18"/>
        <v>14</v>
      </c>
      <c r="AG18" s="247">
        <f t="shared" si="19"/>
        <v>0.94072566170576011</v>
      </c>
      <c r="AH18" s="247">
        <f t="shared" si="5"/>
        <v>8.2380004721985881E-3</v>
      </c>
      <c r="AI18" s="248">
        <f>IFERROR((1000*NPV($AF$2,$AH18:$AH$90)-$AI$2*($AG18+NPV($AF$2,$AG19:$AG$90)))/AG18,0)</f>
        <v>246.79939167454057</v>
      </c>
    </row>
    <row r="19" spans="1:35">
      <c r="A19" s="33" t="s">
        <v>149</v>
      </c>
      <c r="B19" s="114">
        <f>'Inputs &amp; Results'!B14</f>
        <v>575</v>
      </c>
      <c r="C19" s="26"/>
      <c r="D19" s="237">
        <f t="shared" si="15"/>
        <v>15</v>
      </c>
      <c r="E19" s="224"/>
      <c r="F19" s="224"/>
      <c r="G19" s="225">
        <v>28.75</v>
      </c>
      <c r="H19" s="224">
        <f t="shared" si="6"/>
        <v>2000000</v>
      </c>
      <c r="I19" s="226">
        <f t="shared" si="7"/>
        <v>265.58248959640252</v>
      </c>
      <c r="J19" s="241">
        <f t="shared" si="8"/>
        <v>531164.97919280501</v>
      </c>
      <c r="K19" s="226"/>
      <c r="L19" s="249">
        <v>9.6891097860873493E-3</v>
      </c>
      <c r="M19" s="243">
        <f t="shared" si="9"/>
        <v>9.6891097860873501</v>
      </c>
      <c r="N19" s="245">
        <f t="shared" si="16"/>
        <v>9074.0374314637884</v>
      </c>
      <c r="O19" s="245">
        <f t="shared" si="0"/>
        <v>87.919344876518721</v>
      </c>
      <c r="P19" s="246">
        <f t="shared" si="10"/>
        <v>8986.1180865872702</v>
      </c>
      <c r="Q19" s="250"/>
      <c r="R19" s="235">
        <f t="shared" si="17"/>
        <v>4478933836.2345476</v>
      </c>
      <c r="S19" s="235">
        <f t="shared" si="17"/>
        <v>181480748.62927577</v>
      </c>
      <c r="T19" s="235">
        <f t="shared" si="11"/>
        <v>4773111226.4862165</v>
      </c>
      <c r="U19" s="235">
        <f t="shared" si="1"/>
        <v>179722361.73174539</v>
      </c>
      <c r="V19" s="250"/>
      <c r="W19" s="235">
        <v>0</v>
      </c>
      <c r="X19" s="235">
        <v>0</v>
      </c>
      <c r="Y19" s="235">
        <f t="shared" si="12"/>
        <v>-258350.89498938402</v>
      </c>
      <c r="Z19" s="235">
        <f t="shared" si="2"/>
        <v>-175838689.75303745</v>
      </c>
      <c r="AA19" s="235">
        <f t="shared" si="3"/>
        <v>-176097040.64802682</v>
      </c>
      <c r="AB19" s="235">
        <f t="shared" si="4"/>
        <v>-294177390.25166893</v>
      </c>
      <c r="AC19" s="235">
        <f t="shared" si="13"/>
        <v>209718656.31887203</v>
      </c>
      <c r="AD19" s="235">
        <f t="shared" si="14"/>
        <v>-260555774.58082372</v>
      </c>
      <c r="AE19" s="228"/>
      <c r="AF19" s="237">
        <f t="shared" si="18"/>
        <v>15</v>
      </c>
      <c r="AG19" s="247">
        <f t="shared" si="19"/>
        <v>0.93248766123356153</v>
      </c>
      <c r="AH19" s="247">
        <f t="shared" si="5"/>
        <v>9.0349753238638062E-3</v>
      </c>
      <c r="AI19" s="248">
        <f>IFERROR((1000*NPV($AF$2,$AH19:$AH$90)-$AI$2*($AG19+NPV($AF$2,$AG20:$AG$90)))/AG19,0)</f>
        <v>265.58248959640252</v>
      </c>
    </row>
    <row r="20" spans="1:35">
      <c r="A20" s="33" t="s">
        <v>150</v>
      </c>
      <c r="B20" s="114">
        <f>'Inputs &amp; Results'!B15</f>
        <v>28.75</v>
      </c>
      <c r="C20" s="26"/>
      <c r="D20" s="237">
        <f t="shared" si="15"/>
        <v>16</v>
      </c>
      <c r="E20" s="224"/>
      <c r="F20" s="224"/>
      <c r="G20" s="225">
        <v>28.75</v>
      </c>
      <c r="H20" s="224">
        <f t="shared" si="6"/>
        <v>2000000</v>
      </c>
      <c r="I20" s="226">
        <f t="shared" si="7"/>
        <v>284.61683092007468</v>
      </c>
      <c r="J20" s="241">
        <f t="shared" si="8"/>
        <v>569233.66184014943</v>
      </c>
      <c r="K20" s="226"/>
      <c r="L20" s="249">
        <v>1.0720349206507334E-2</v>
      </c>
      <c r="M20" s="243">
        <f t="shared" si="9"/>
        <v>10.720349206507334</v>
      </c>
      <c r="N20" s="245">
        <f t="shared" si="16"/>
        <v>8986.1180865872702</v>
      </c>
      <c r="O20" s="245">
        <f t="shared" si="0"/>
        <v>96.334323899127043</v>
      </c>
      <c r="P20" s="246">
        <f t="shared" si="10"/>
        <v>8889.7837626881428</v>
      </c>
      <c r="Q20" s="250"/>
      <c r="R20" s="235">
        <f t="shared" si="17"/>
        <v>4773111226.4862165</v>
      </c>
      <c r="S20" s="235">
        <f t="shared" si="17"/>
        <v>179722361.73174539</v>
      </c>
      <c r="T20" s="235">
        <f t="shared" si="11"/>
        <v>5060364164.2020731</v>
      </c>
      <c r="U20" s="235">
        <f t="shared" si="1"/>
        <v>177795675.25376287</v>
      </c>
      <c r="V20" s="250"/>
      <c r="W20" s="235">
        <v>0</v>
      </c>
      <c r="X20" s="235">
        <v>0</v>
      </c>
      <c r="Y20" s="235">
        <f t="shared" si="12"/>
        <v>-255581.28317728412</v>
      </c>
      <c r="Z20" s="235">
        <f t="shared" si="2"/>
        <v>-192668647.79825407</v>
      </c>
      <c r="AA20" s="235">
        <f t="shared" si="3"/>
        <v>-192924229.08143136</v>
      </c>
      <c r="AB20" s="235">
        <f t="shared" si="4"/>
        <v>-287252937.71585655</v>
      </c>
      <c r="AC20" s="235">
        <f t="shared" si="13"/>
        <v>222877511.46980828</v>
      </c>
      <c r="AD20" s="235">
        <f t="shared" si="14"/>
        <v>-257299655.32747966</v>
      </c>
      <c r="AE20" s="228"/>
      <c r="AF20" s="237">
        <f t="shared" si="18"/>
        <v>16</v>
      </c>
      <c r="AG20" s="247">
        <f t="shared" si="19"/>
        <v>0.92345268590969776</v>
      </c>
      <c r="AH20" s="247">
        <f t="shared" si="5"/>
        <v>9.8997352686390951E-3</v>
      </c>
      <c r="AI20" s="248">
        <f>IFERROR((1000*NPV($AF$2,$AH20:$AH$90)-$AI$2*($AG20+NPV($AF$2,$AG21:$AG$90)))/AG20,0)</f>
        <v>284.61683092007468</v>
      </c>
    </row>
    <row r="21" spans="1:35">
      <c r="B21" s="25"/>
      <c r="C21" s="26"/>
      <c r="D21" s="237">
        <f t="shared" si="15"/>
        <v>17</v>
      </c>
      <c r="E21" s="224"/>
      <c r="F21" s="224"/>
      <c r="G21" s="225">
        <v>28.75</v>
      </c>
      <c r="H21" s="224">
        <f t="shared" si="6"/>
        <v>2000000</v>
      </c>
      <c r="I21" s="226">
        <f t="shared" si="7"/>
        <v>303.88133680238303</v>
      </c>
      <c r="J21" s="241">
        <f t="shared" si="8"/>
        <v>607762.67360476602</v>
      </c>
      <c r="K21" s="226"/>
      <c r="L21" s="249">
        <v>1.1861346361714799E-2</v>
      </c>
      <c r="M21" s="243">
        <f t="shared" si="9"/>
        <v>11.8613463617148</v>
      </c>
      <c r="N21" s="245">
        <f t="shared" si="16"/>
        <v>8889.7837626881428</v>
      </c>
      <c r="O21" s="245">
        <f t="shared" si="0"/>
        <v>105.44480428999231</v>
      </c>
      <c r="P21" s="246">
        <f t="shared" si="10"/>
        <v>8784.3389583981498</v>
      </c>
      <c r="Q21" s="250"/>
      <c r="R21" s="235">
        <f t="shared" si="17"/>
        <v>5060364164.2020731</v>
      </c>
      <c r="S21" s="235">
        <f t="shared" si="17"/>
        <v>177795675.25376287</v>
      </c>
      <c r="T21" s="235">
        <f t="shared" si="11"/>
        <v>5338793331.2065649</v>
      </c>
      <c r="U21" s="235">
        <f t="shared" si="1"/>
        <v>175686779.167963</v>
      </c>
      <c r="V21" s="250"/>
      <c r="W21" s="235">
        <v>0</v>
      </c>
      <c r="X21" s="235">
        <v>0</v>
      </c>
      <c r="Y21" s="235">
        <f t="shared" si="12"/>
        <v>-252549.7450539468</v>
      </c>
      <c r="Z21" s="235">
        <f t="shared" si="2"/>
        <v>-210889608.57998461</v>
      </c>
      <c r="AA21" s="235">
        <f t="shared" si="3"/>
        <v>-211142158.32503855</v>
      </c>
      <c r="AB21" s="235">
        <f t="shared" si="4"/>
        <v>-278429167.00449181</v>
      </c>
      <c r="AC21" s="235">
        <f t="shared" si="13"/>
        <v>235717192.77551264</v>
      </c>
      <c r="AD21" s="235">
        <f t="shared" si="14"/>
        <v>-253854132.55401772</v>
      </c>
      <c r="AE21" s="228"/>
      <c r="AF21" s="237">
        <f t="shared" si="18"/>
        <v>17</v>
      </c>
      <c r="AG21" s="247">
        <f t="shared" si="19"/>
        <v>0.91355295064105868</v>
      </c>
      <c r="AH21" s="247">
        <f t="shared" si="5"/>
        <v>1.0835967967320141E-2</v>
      </c>
      <c r="AI21" s="248">
        <f>IFERROR((1000*NPV($AF$2,$AH21:$AH$90)-$AI$2*($AG21+NPV($AF$2,$AG22:$AG$90)))/AG21,0)</f>
        <v>303.88133680238303</v>
      </c>
    </row>
    <row r="22" spans="1:35">
      <c r="B22" s="25"/>
      <c r="C22" s="26"/>
      <c r="D22" s="237">
        <f t="shared" si="15"/>
        <v>18</v>
      </c>
      <c r="E22" s="224"/>
      <c r="F22" s="224"/>
      <c r="G22" s="225">
        <v>28.75</v>
      </c>
      <c r="H22" s="224">
        <f t="shared" si="6"/>
        <v>2000000</v>
      </c>
      <c r="I22" s="226">
        <f t="shared" si="7"/>
        <v>323.35311501120128</v>
      </c>
      <c r="J22" s="241">
        <f t="shared" si="8"/>
        <v>646706.23002240248</v>
      </c>
      <c r="K22" s="226"/>
      <c r="L22" s="249">
        <v>1.312378307855531E-2</v>
      </c>
      <c r="M22" s="243">
        <f t="shared" si="9"/>
        <v>13.123783078555309</v>
      </c>
      <c r="N22" s="245">
        <f t="shared" si="16"/>
        <v>8784.3389583981498</v>
      </c>
      <c r="O22" s="245">
        <f t="shared" si="0"/>
        <v>115.28375897851981</v>
      </c>
      <c r="P22" s="246">
        <f t="shared" si="10"/>
        <v>8669.0551994196303</v>
      </c>
      <c r="Q22" s="250"/>
      <c r="R22" s="235">
        <f t="shared" si="17"/>
        <v>5338793331.2065649</v>
      </c>
      <c r="S22" s="235">
        <f t="shared" si="17"/>
        <v>175686779.167963</v>
      </c>
      <c r="T22" s="235">
        <f t="shared" si="11"/>
        <v>5606332005.872776</v>
      </c>
      <c r="U22" s="235">
        <f t="shared" si="1"/>
        <v>173381103.98839259</v>
      </c>
      <c r="V22" s="250"/>
      <c r="W22" s="235">
        <v>0</v>
      </c>
      <c r="X22" s="235">
        <v>0</v>
      </c>
      <c r="Y22" s="235">
        <f t="shared" si="12"/>
        <v>-249235.33698331437</v>
      </c>
      <c r="Z22" s="235">
        <f t="shared" si="2"/>
        <v>-230567517.95703962</v>
      </c>
      <c r="AA22" s="235">
        <f t="shared" si="3"/>
        <v>-230816753.29402295</v>
      </c>
      <c r="AB22" s="235">
        <f t="shared" si="4"/>
        <v>-267538674.66621113</v>
      </c>
      <c r="AC22" s="235">
        <f t="shared" si="13"/>
        <v>248151604.96685374</v>
      </c>
      <c r="AD22" s="235">
        <f t="shared" si="14"/>
        <v>-250203822.99338031</v>
      </c>
      <c r="AE22" s="228"/>
      <c r="AF22" s="237">
        <f t="shared" si="18"/>
        <v>18</v>
      </c>
      <c r="AG22" s="247">
        <f t="shared" si="19"/>
        <v>0.90271698267373857</v>
      </c>
      <c r="AH22" s="247">
        <f t="shared" si="5"/>
        <v>1.1847061861938117E-2</v>
      </c>
      <c r="AI22" s="248">
        <f>IFERROR((1000*NPV($AF$2,$AH22:$AH$90)-$AI$2*($AG22+NPV($AF$2,$AG23:$AG$90)))/AG22,0)</f>
        <v>323.35311501120128</v>
      </c>
    </row>
    <row r="23" spans="1:35">
      <c r="B23" s="25"/>
      <c r="C23" s="26"/>
      <c r="D23" s="237">
        <f t="shared" si="15"/>
        <v>19</v>
      </c>
      <c r="E23" s="224"/>
      <c r="F23" s="224"/>
      <c r="G23" s="225">
        <v>28.75</v>
      </c>
      <c r="H23" s="224">
        <f t="shared" si="6"/>
        <v>2000000</v>
      </c>
      <c r="I23" s="226">
        <f t="shared" si="7"/>
        <v>343.00748010040439</v>
      </c>
      <c r="J23" s="241">
        <f t="shared" si="8"/>
        <v>686014.96020080871</v>
      </c>
      <c r="K23" s="226"/>
      <c r="L23" s="249">
        <v>1.4520584513820312E-2</v>
      </c>
      <c r="M23" s="243">
        <f t="shared" si="9"/>
        <v>14.520584513820312</v>
      </c>
      <c r="N23" s="245">
        <f t="shared" si="16"/>
        <v>8669.0551994196303</v>
      </c>
      <c r="O23" s="245">
        <f t="shared" si="0"/>
        <v>125.87974867814613</v>
      </c>
      <c r="P23" s="246">
        <f t="shared" si="10"/>
        <v>8543.1754507414844</v>
      </c>
      <c r="Q23" s="250"/>
      <c r="R23" s="235">
        <f t="shared" si="17"/>
        <v>5606332005.872776</v>
      </c>
      <c r="S23" s="235">
        <f t="shared" si="17"/>
        <v>173381103.98839259</v>
      </c>
      <c r="T23" s="235">
        <f t="shared" si="11"/>
        <v>5860746166.8289452</v>
      </c>
      <c r="U23" s="235">
        <f t="shared" si="1"/>
        <v>170863509.0148297</v>
      </c>
      <c r="V23" s="250"/>
      <c r="W23" s="235">
        <v>0</v>
      </c>
      <c r="X23" s="235">
        <v>0</v>
      </c>
      <c r="Y23" s="235">
        <f t="shared" si="12"/>
        <v>-245616.29420881768</v>
      </c>
      <c r="Z23" s="235">
        <f t="shared" si="2"/>
        <v>-251759497.35629225</v>
      </c>
      <c r="AA23" s="235">
        <f t="shared" si="3"/>
        <v>-252005113.65050107</v>
      </c>
      <c r="AB23" s="235">
        <f t="shared" si="4"/>
        <v>-254414160.95616913</v>
      </c>
      <c r="AC23" s="235">
        <f t="shared" si="13"/>
        <v>260087089.94375259</v>
      </c>
      <c r="AD23" s="235">
        <f t="shared" si="14"/>
        <v>-246332184.66291761</v>
      </c>
      <c r="AE23" s="228"/>
      <c r="AF23" s="237">
        <f t="shared" si="18"/>
        <v>19</v>
      </c>
      <c r="AG23" s="247">
        <f t="shared" si="19"/>
        <v>0.8908699208118005</v>
      </c>
      <c r="AH23" s="247">
        <f t="shared" si="5"/>
        <v>1.2935951975968156E-2</v>
      </c>
      <c r="AI23" s="248">
        <f>IFERROR((1000*NPV($AF$2,$AH23:$AH$90)-$AI$2*($AG23+NPV($AF$2,$AG24:$AG$90)))/AG23,0)</f>
        <v>343.00748010040439</v>
      </c>
    </row>
    <row r="24" spans="1:35">
      <c r="B24" s="25"/>
      <c r="C24" s="26"/>
      <c r="D24" s="237">
        <f t="shared" si="15"/>
        <v>20</v>
      </c>
      <c r="E24" s="224"/>
      <c r="F24" s="224"/>
      <c r="G24" s="225">
        <v>28.75</v>
      </c>
      <c r="H24" s="224">
        <f t="shared" si="6"/>
        <v>2000000</v>
      </c>
      <c r="I24" s="226">
        <f t="shared" si="7"/>
        <v>362.81799190940649</v>
      </c>
      <c r="J24" s="241">
        <f t="shared" si="8"/>
        <v>725635.98381881299</v>
      </c>
      <c r="K24" s="226"/>
      <c r="L24" s="249">
        <v>1.6066051485377694E-2</v>
      </c>
      <c r="M24" s="243">
        <f t="shared" si="9"/>
        <v>16.066051485377695</v>
      </c>
      <c r="N24" s="245">
        <f t="shared" si="16"/>
        <v>8543.1754507414844</v>
      </c>
      <c r="O24" s="245">
        <f t="shared" si="0"/>
        <v>137.25509664022749</v>
      </c>
      <c r="P24" s="246">
        <f t="shared" si="10"/>
        <v>8405.9203541012575</v>
      </c>
      <c r="Q24" s="250"/>
      <c r="R24" s="235">
        <f t="shared" si="17"/>
        <v>5860746166.8289452</v>
      </c>
      <c r="S24" s="235">
        <f t="shared" si="17"/>
        <v>170863509.0148297</v>
      </c>
      <c r="T24" s="235">
        <f t="shared" si="11"/>
        <v>6099638286.0508509</v>
      </c>
      <c r="U24" s="235">
        <f t="shared" si="1"/>
        <v>168118407.08202514</v>
      </c>
      <c r="V24" s="250"/>
      <c r="W24" s="235">
        <v>0</v>
      </c>
      <c r="X24" s="235">
        <v>0</v>
      </c>
      <c r="Y24" s="235">
        <f t="shared" si="12"/>
        <v>-241670.21018041114</v>
      </c>
      <c r="Z24" s="235">
        <f t="shared" si="2"/>
        <v>-274510193.28045499</v>
      </c>
      <c r="AA24" s="235">
        <f t="shared" si="3"/>
        <v>-274751863.4906354</v>
      </c>
      <c r="AB24" s="235">
        <f t="shared" si="4"/>
        <v>-238892119.22190571</v>
      </c>
      <c r="AC24" s="235">
        <f t="shared" si="13"/>
        <v>271422435.41296983</v>
      </c>
      <c r="AD24" s="235">
        <f t="shared" si="14"/>
        <v>-242221547.29957128</v>
      </c>
      <c r="AE24" s="228"/>
      <c r="AF24" s="237">
        <f t="shared" si="18"/>
        <v>20</v>
      </c>
      <c r="AG24" s="247">
        <f t="shared" si="19"/>
        <v>0.8779339688358323</v>
      </c>
      <c r="AH24" s="247">
        <f t="shared" si="5"/>
        <v>1.4104932344078457E-2</v>
      </c>
      <c r="AI24" s="248">
        <f>IFERROR((1000*NPV($AF$2,$AH24:$AH$90)-$AI$2*($AG24+NPV($AF$2,$AG25:$AG$90)))/AG24,0)</f>
        <v>362.81799190940649</v>
      </c>
    </row>
    <row r="25" spans="1:35">
      <c r="B25" s="25"/>
      <c r="C25" s="26"/>
      <c r="D25" s="237">
        <f>D24+1</f>
        <v>21</v>
      </c>
      <c r="E25" s="224"/>
      <c r="F25" s="224"/>
      <c r="G25" s="225">
        <v>28.75</v>
      </c>
      <c r="H25" s="224">
        <f t="shared" si="6"/>
        <v>2000000</v>
      </c>
      <c r="I25" s="226">
        <f t="shared" si="7"/>
        <v>382.75651376100336</v>
      </c>
      <c r="J25" s="241">
        <f t="shared" si="8"/>
        <v>765513.02752200677</v>
      </c>
      <c r="K25" s="226"/>
      <c r="L25" s="249">
        <v>1.7776006887679812E-2</v>
      </c>
      <c r="M25" s="243">
        <f t="shared" si="9"/>
        <v>17.776006887679813</v>
      </c>
      <c r="N25" s="245">
        <f>P24</f>
        <v>8405.9203541012575</v>
      </c>
      <c r="O25" s="245">
        <f t="shared" si="0"/>
        <v>149.42369811179188</v>
      </c>
      <c r="P25" s="246">
        <f t="shared" si="10"/>
        <v>8256.4966559894656</v>
      </c>
      <c r="Q25" s="250"/>
      <c r="R25" s="235">
        <f>T24</f>
        <v>6099638286.0508509</v>
      </c>
      <c r="S25" s="235">
        <f>U24</f>
        <v>168118407.08202514</v>
      </c>
      <c r="T25" s="235">
        <f t="shared" si="11"/>
        <v>6320455751.8518209</v>
      </c>
      <c r="U25" s="235">
        <f t="shared" si="1"/>
        <v>165129933.1197893</v>
      </c>
      <c r="V25" s="250"/>
      <c r="W25" s="235">
        <v>0</v>
      </c>
      <c r="X25" s="235">
        <v>0</v>
      </c>
      <c r="Y25" s="235">
        <f t="shared" si="12"/>
        <v>-237374.27885969714</v>
      </c>
      <c r="Z25" s="235">
        <f t="shared" si="2"/>
        <v>-298847396.22358376</v>
      </c>
      <c r="AA25" s="235">
        <f t="shared" si="3"/>
        <v>-299084770.50244343</v>
      </c>
      <c r="AB25" s="235">
        <f t="shared" si="4"/>
        <v>-220817465.80097008</v>
      </c>
      <c r="AC25" s="235">
        <f t="shared" si="13"/>
        <v>282049051.19097942</v>
      </c>
      <c r="AD25" s="235">
        <f t="shared" si="14"/>
        <v>-237853185.11243409</v>
      </c>
      <c r="AE25" s="228"/>
      <c r="AF25" s="237">
        <f>AF24+1</f>
        <v>21</v>
      </c>
      <c r="AG25" s="247">
        <f>AG24-AH24</f>
        <v>0.8638290364917538</v>
      </c>
      <c r="AH25" s="247">
        <f t="shared" si="5"/>
        <v>1.5355430902455232E-2</v>
      </c>
      <c r="AI25" s="248">
        <f>IFERROR((1000*NPV($AF$2,$AH25:$AH$90)-$AI$2*($AG25+NPV($AF$2,$AG26:$AG$90)))/AG25,0)</f>
        <v>382.75651376100336</v>
      </c>
    </row>
    <row r="26" spans="1:35">
      <c r="B26" s="25"/>
      <c r="C26" s="26"/>
      <c r="D26" s="237">
        <f>D25+1</f>
        <v>22</v>
      </c>
      <c r="E26" s="224"/>
      <c r="F26" s="224"/>
      <c r="G26" s="225">
        <v>28.75</v>
      </c>
      <c r="H26" s="224">
        <f t="shared" si="6"/>
        <v>2000000</v>
      </c>
      <c r="I26" s="226">
        <f t="shared" si="7"/>
        <v>402.79329155286945</v>
      </c>
      <c r="J26" s="241">
        <f t="shared" si="8"/>
        <v>805586.58310573886</v>
      </c>
      <c r="K26" s="226"/>
      <c r="L26" s="249">
        <v>1.9667957690689047E-2</v>
      </c>
      <c r="M26" s="243">
        <f t="shared" si="9"/>
        <v>19.667957690689047</v>
      </c>
      <c r="N26" s="245">
        <f t="shared" si="16"/>
        <v>8256.4966559894656</v>
      </c>
      <c r="O26" s="245">
        <f t="shared" si="0"/>
        <v>162.3884269033164</v>
      </c>
      <c r="P26" s="246">
        <f t="shared" si="10"/>
        <v>8094.1082290861495</v>
      </c>
      <c r="Q26" s="250"/>
      <c r="R26" s="235">
        <f t="shared" si="17"/>
        <v>6320455751.8518209</v>
      </c>
      <c r="S26" s="235">
        <f t="shared" si="17"/>
        <v>165129933.1197893</v>
      </c>
      <c r="T26" s="235">
        <f t="shared" si="11"/>
        <v>6520504991.5575542</v>
      </c>
      <c r="U26" s="235">
        <f t="shared" si="1"/>
        <v>161882164.581723</v>
      </c>
      <c r="V26" s="250"/>
      <c r="W26" s="235">
        <v>0</v>
      </c>
      <c r="X26" s="235">
        <v>0</v>
      </c>
      <c r="Y26" s="235">
        <f t="shared" si="12"/>
        <v>-232705.61158622679</v>
      </c>
      <c r="Z26" s="235">
        <f t="shared" si="2"/>
        <v>-324776853.80663282</v>
      </c>
      <c r="AA26" s="235">
        <f t="shared" si="3"/>
        <v>-325009559.41821903</v>
      </c>
      <c r="AB26" s="235">
        <f t="shared" si="4"/>
        <v>-200049239.7057333</v>
      </c>
      <c r="AC26" s="235">
        <f t="shared" si="13"/>
        <v>291851355.82372242</v>
      </c>
      <c r="AD26" s="235">
        <f t="shared" si="14"/>
        <v>-233207443.30022991</v>
      </c>
      <c r="AE26" s="228"/>
      <c r="AF26" s="237">
        <f>AF25+1</f>
        <v>22</v>
      </c>
      <c r="AG26" s="247">
        <f t="shared" si="19"/>
        <v>0.84847360558929852</v>
      </c>
      <c r="AH26" s="247">
        <f t="shared" si="5"/>
        <v>1.6687742976396708E-2</v>
      </c>
      <c r="AI26" s="248">
        <f>IFERROR((1000*NPV($AF$2,$AH26:$AH$90)-$AI$2*($AG26+NPV($AF$2,$AG27:$AG$90)))/AG26,0)</f>
        <v>402.79329155286945</v>
      </c>
    </row>
    <row r="27" spans="1:35">
      <c r="B27" s="25"/>
      <c r="C27" s="26"/>
      <c r="D27" s="237">
        <f t="shared" si="15"/>
        <v>23</v>
      </c>
      <c r="E27" s="224"/>
      <c r="F27" s="224"/>
      <c r="G27" s="225">
        <v>28.75</v>
      </c>
      <c r="H27" s="224">
        <f t="shared" si="6"/>
        <v>2000000</v>
      </c>
      <c r="I27" s="226">
        <f t="shared" si="7"/>
        <v>422.89705470795889</v>
      </c>
      <c r="J27" s="241">
        <f t="shared" si="8"/>
        <v>845794.10941591777</v>
      </c>
      <c r="K27" s="226"/>
      <c r="L27" s="249">
        <v>2.1761274180808136E-2</v>
      </c>
      <c r="M27" s="243">
        <f t="shared" si="9"/>
        <v>21.761274180808137</v>
      </c>
      <c r="N27" s="245">
        <f t="shared" si="16"/>
        <v>8094.1082290861495</v>
      </c>
      <c r="O27" s="245">
        <f t="shared" si="0"/>
        <v>176.13810842227909</v>
      </c>
      <c r="P27" s="246">
        <f t="shared" si="10"/>
        <v>7917.9701206638701</v>
      </c>
      <c r="Q27" s="250"/>
      <c r="R27" s="235">
        <f t="shared" si="17"/>
        <v>6520504991.5575542</v>
      </c>
      <c r="S27" s="235">
        <f t="shared" si="17"/>
        <v>161882164.581723</v>
      </c>
      <c r="T27" s="235">
        <f t="shared" si="11"/>
        <v>6696972486.5887451</v>
      </c>
      <c r="U27" s="235">
        <f t="shared" si="1"/>
        <v>158359402.41327742</v>
      </c>
      <c r="V27" s="250"/>
      <c r="W27" s="235">
        <v>0</v>
      </c>
      <c r="X27" s="235">
        <v>0</v>
      </c>
      <c r="Y27" s="235">
        <f t="shared" si="12"/>
        <v>-227641.64096908626</v>
      </c>
      <c r="Z27" s="235">
        <f t="shared" si="2"/>
        <v>-352276216.84455818</v>
      </c>
      <c r="AA27" s="235">
        <f t="shared" si="3"/>
        <v>-352503858.48552728</v>
      </c>
      <c r="AB27" s="235">
        <f t="shared" si="4"/>
        <v>-176467495.03119087</v>
      </c>
      <c r="AC27" s="235">
        <f t="shared" si="13"/>
        <v>300707422.02626747</v>
      </c>
      <c r="AD27" s="235">
        <f t="shared" si="14"/>
        <v>-228263931.49045068</v>
      </c>
      <c r="AE27" s="228"/>
      <c r="AF27" s="237">
        <f t="shared" si="18"/>
        <v>23</v>
      </c>
      <c r="AG27" s="247">
        <f t="shared" si="19"/>
        <v>0.83178586261290177</v>
      </c>
      <c r="AH27" s="247">
        <f t="shared" si="5"/>
        <v>1.8100720216039364E-2</v>
      </c>
      <c r="AI27" s="248">
        <f>IFERROR((1000*NPV($AF$2,$AH27:$AH$90)-$AI$2*($AG27+NPV($AF$2,$AG28:$AG$90)))/AG27,0)</f>
        <v>422.89705470795889</v>
      </c>
    </row>
    <row r="28" spans="1:35">
      <c r="B28" s="25"/>
      <c r="C28" s="26"/>
      <c r="D28" s="237">
        <f>D27+1</f>
        <v>24</v>
      </c>
      <c r="E28" s="224"/>
      <c r="F28" s="224"/>
      <c r="G28" s="225">
        <v>28.75</v>
      </c>
      <c r="H28" s="224">
        <f t="shared" si="6"/>
        <v>2000000</v>
      </c>
      <c r="I28" s="226">
        <f t="shared" si="7"/>
        <v>443.03513966561633</v>
      </c>
      <c r="J28" s="241">
        <f t="shared" si="8"/>
        <v>886070.27933123265</v>
      </c>
      <c r="K28" s="226"/>
      <c r="L28" s="249">
        <v>2.4077388278930988E-2</v>
      </c>
      <c r="M28" s="243">
        <f t="shared" si="9"/>
        <v>24.077388278930986</v>
      </c>
      <c r="N28" s="245">
        <f>P27</f>
        <v>7917.9701206638701</v>
      </c>
      <c r="O28" s="245">
        <f t="shared" si="0"/>
        <v>190.64404097619803</v>
      </c>
      <c r="P28" s="246">
        <f t="shared" si="10"/>
        <v>7727.3260796876721</v>
      </c>
      <c r="Q28" s="250"/>
      <c r="R28" s="235">
        <f>T27</f>
        <v>6696972486.5887451</v>
      </c>
      <c r="S28" s="235">
        <f>U27</f>
        <v>158359402.41327742</v>
      </c>
      <c r="T28" s="235">
        <f t="shared" si="11"/>
        <v>6846953977.9123745</v>
      </c>
      <c r="U28" s="235">
        <f t="shared" si="1"/>
        <v>154546521.59375343</v>
      </c>
      <c r="V28" s="250"/>
      <c r="W28" s="235">
        <v>0</v>
      </c>
      <c r="X28" s="235">
        <v>0</v>
      </c>
      <c r="Y28" s="235">
        <f t="shared" si="12"/>
        <v>-222160.62479102059</v>
      </c>
      <c r="Z28" s="235">
        <f t="shared" si="2"/>
        <v>-381288081.95239604</v>
      </c>
      <c r="AA28" s="235">
        <f t="shared" si="3"/>
        <v>-381510242.57718706</v>
      </c>
      <c r="AB28" s="235">
        <f t="shared" si="4"/>
        <v>-149981491.32362938</v>
      </c>
      <c r="AC28" s="235">
        <f t="shared" si="13"/>
        <v>308489935.00509101</v>
      </c>
      <c r="AD28" s="235">
        <f t="shared" si="14"/>
        <v>-223001798.89572543</v>
      </c>
      <c r="AE28" s="228"/>
      <c r="AF28" s="237">
        <f>AF27+1</f>
        <v>24</v>
      </c>
      <c r="AG28" s="247">
        <f>AG27-AH27</f>
        <v>0.8136851423968624</v>
      </c>
      <c r="AH28" s="247">
        <f t="shared" si="5"/>
        <v>1.9591413110286508E-2</v>
      </c>
      <c r="AI28" s="248">
        <f>IFERROR((1000*NPV($AF$2,$AH28:$AH$90)-$AI$2*($AG28+NPV($AF$2,$AG29:$AG$90)))/AG28,0)</f>
        <v>443.03513966561633</v>
      </c>
    </row>
    <row r="29" spans="1:35">
      <c r="B29" s="25"/>
      <c r="C29" s="26"/>
      <c r="D29" s="237">
        <f t="shared" si="15"/>
        <v>25</v>
      </c>
      <c r="E29" s="224"/>
      <c r="F29" s="224"/>
      <c r="G29" s="225">
        <v>28.75</v>
      </c>
      <c r="H29" s="224">
        <f t="shared" si="6"/>
        <v>2000000</v>
      </c>
      <c r="I29" s="226">
        <f t="shared" si="7"/>
        <v>463.173636258214</v>
      </c>
      <c r="J29" s="241">
        <f t="shared" si="8"/>
        <v>926347.27251642803</v>
      </c>
      <c r="K29" s="226"/>
      <c r="L29" s="249">
        <v>2.664001296604564E-2</v>
      </c>
      <c r="M29" s="243">
        <f t="shared" si="9"/>
        <v>26.640012966045642</v>
      </c>
      <c r="N29" s="245">
        <f t="shared" si="16"/>
        <v>7727.3260796876721</v>
      </c>
      <c r="O29" s="245">
        <f t="shared" si="0"/>
        <v>205.85606695574222</v>
      </c>
      <c r="P29" s="246">
        <f t="shared" si="10"/>
        <v>7521.4700127319302</v>
      </c>
      <c r="Q29" s="250"/>
      <c r="R29" s="235">
        <f t="shared" si="17"/>
        <v>6846953977.9123745</v>
      </c>
      <c r="S29" s="235">
        <f t="shared" si="17"/>
        <v>154546521.59375343</v>
      </c>
      <c r="T29" s="235">
        <f t="shared" si="11"/>
        <v>6967493231.6083269</v>
      </c>
      <c r="U29" s="235">
        <f t="shared" si="1"/>
        <v>150429400.25463861</v>
      </c>
      <c r="V29" s="250"/>
      <c r="W29" s="235">
        <v>0</v>
      </c>
      <c r="X29" s="235">
        <v>0</v>
      </c>
      <c r="Y29" s="235">
        <f t="shared" si="12"/>
        <v>-216242.26286604299</v>
      </c>
      <c r="Z29" s="235">
        <f t="shared" si="2"/>
        <v>-411712133.91148442</v>
      </c>
      <c r="AA29" s="235">
        <f t="shared" si="3"/>
        <v>-411928376.17435044</v>
      </c>
      <c r="AB29" s="235">
        <f t="shared" si="4"/>
        <v>-120539253.69595242</v>
      </c>
      <c r="AC29" s="235">
        <f t="shared" si="13"/>
        <v>315067522.47777575</v>
      </c>
      <c r="AD29" s="235">
        <f t="shared" si="14"/>
        <v>-217400107.3925271</v>
      </c>
      <c r="AE29" s="228"/>
      <c r="AF29" s="237">
        <f t="shared" si="18"/>
        <v>25</v>
      </c>
      <c r="AG29" s="247">
        <f t="shared" si="19"/>
        <v>0.79409372928657584</v>
      </c>
      <c r="AH29" s="247">
        <f t="shared" si="5"/>
        <v>2.1154667244449917E-2</v>
      </c>
      <c r="AI29" s="248">
        <f>IFERROR((1000*NPV($AF$2,$AH29:$AH$90)-$AI$2*($AG29+NPV($AF$2,$AG30:$AG$90)))/AG29,0)</f>
        <v>463.173636258214</v>
      </c>
    </row>
    <row r="30" spans="1:35">
      <c r="B30" s="25"/>
      <c r="C30" s="26"/>
      <c r="D30" s="237">
        <f t="shared" si="15"/>
        <v>26</v>
      </c>
      <c r="E30" s="224"/>
      <c r="F30" s="224"/>
      <c r="G30" s="225">
        <v>28.75</v>
      </c>
      <c r="H30" s="224">
        <f t="shared" si="6"/>
        <v>2000000</v>
      </c>
      <c r="I30" s="226">
        <f t="shared" si="7"/>
        <v>483.27755692944692</v>
      </c>
      <c r="J30" s="241">
        <f t="shared" si="8"/>
        <v>966555.11385889386</v>
      </c>
      <c r="K30" s="226"/>
      <c r="L30" s="249">
        <v>2.9475385062926344E-2</v>
      </c>
      <c r="M30" s="243">
        <f t="shared" si="9"/>
        <v>29.475385062926346</v>
      </c>
      <c r="N30" s="245">
        <f t="shared" si="16"/>
        <v>7521.4700127319302</v>
      </c>
      <c r="O30" s="245">
        <f t="shared" si="0"/>
        <v>221.69822486452716</v>
      </c>
      <c r="P30" s="246">
        <f t="shared" si="10"/>
        <v>7299.771787867403</v>
      </c>
      <c r="Q30" s="250"/>
      <c r="R30" s="235">
        <f t="shared" si="17"/>
        <v>6967493231.6083269</v>
      </c>
      <c r="S30" s="235">
        <f t="shared" si="17"/>
        <v>150429400.25463861</v>
      </c>
      <c r="T30" s="235">
        <f t="shared" si="11"/>
        <v>7055631751.5661192</v>
      </c>
      <c r="U30" s="235">
        <f t="shared" si="1"/>
        <v>145995435.75734806</v>
      </c>
      <c r="V30" s="250"/>
      <c r="W30" s="235">
        <v>0</v>
      </c>
      <c r="X30" s="235">
        <v>0</v>
      </c>
      <c r="Y30" s="235">
        <f t="shared" si="12"/>
        <v>-209868.43890118782</v>
      </c>
      <c r="Z30" s="235">
        <f t="shared" si="2"/>
        <v>-443396449.72905433</v>
      </c>
      <c r="AA30" s="235">
        <f t="shared" si="3"/>
        <v>-443606318.16795552</v>
      </c>
      <c r="AB30" s="235">
        <f t="shared" si="4"/>
        <v>-88138519.957792282</v>
      </c>
      <c r="AC30" s="235">
        <f t="shared" si="13"/>
        <v>320306518.43383342</v>
      </c>
      <c r="AD30" s="235">
        <f t="shared" si="14"/>
        <v>-211438319.69191438</v>
      </c>
      <c r="AE30" s="228"/>
      <c r="AF30" s="237">
        <f t="shared" si="18"/>
        <v>26</v>
      </c>
      <c r="AG30" s="247">
        <f t="shared" si="19"/>
        <v>0.77293906204212592</v>
      </c>
      <c r="AH30" s="247">
        <f t="shared" si="5"/>
        <v>2.278267648386878E-2</v>
      </c>
      <c r="AI30" s="248">
        <f>IFERROR((1000*NPV($AF$2,$AH30:$AH$90)-$AI$2*($AG30+NPV($AF$2,$AG31:$AG$90)))/AG30,0)</f>
        <v>483.27755692944692</v>
      </c>
    </row>
    <row r="31" spans="1:35">
      <c r="B31" s="25"/>
      <c r="C31" s="26"/>
      <c r="D31" s="237">
        <f t="shared" si="15"/>
        <v>27</v>
      </c>
      <c r="E31" s="224"/>
      <c r="F31" s="224"/>
      <c r="G31" s="225">
        <v>28.75</v>
      </c>
      <c r="H31" s="224">
        <f t="shared" si="6"/>
        <v>2000000</v>
      </c>
      <c r="I31" s="226">
        <f t="shared" si="7"/>
        <v>503.31102831381622</v>
      </c>
      <c r="J31" s="241">
        <f t="shared" si="8"/>
        <v>1006622.0566276325</v>
      </c>
      <c r="K31" s="226"/>
      <c r="L31" s="249">
        <v>3.2612533849556258E-2</v>
      </c>
      <c r="M31" s="243">
        <f t="shared" si="9"/>
        <v>32.612533849556257</v>
      </c>
      <c r="N31" s="245">
        <f t="shared" si="16"/>
        <v>7299.771787867403</v>
      </c>
      <c r="O31" s="245">
        <f t="shared" si="0"/>
        <v>238.06405452586148</v>
      </c>
      <c r="P31" s="246">
        <f t="shared" si="10"/>
        <v>7061.7077333415418</v>
      </c>
      <c r="Q31" s="250"/>
      <c r="R31" s="235">
        <f t="shared" si="17"/>
        <v>7055631751.5661192</v>
      </c>
      <c r="S31" s="235">
        <f t="shared" si="17"/>
        <v>145995435.75734806</v>
      </c>
      <c r="T31" s="235">
        <f t="shared" si="11"/>
        <v>7108470761.8395195</v>
      </c>
      <c r="U31" s="235">
        <f t="shared" si="1"/>
        <v>141234154.66683084</v>
      </c>
      <c r="V31" s="250"/>
      <c r="W31" s="235">
        <v>0</v>
      </c>
      <c r="X31" s="235">
        <v>0</v>
      </c>
      <c r="Y31" s="235">
        <f t="shared" si="12"/>
        <v>-203024.09733356934</v>
      </c>
      <c r="Z31" s="235">
        <f t="shared" si="2"/>
        <v>-476128109.05172294</v>
      </c>
      <c r="AA31" s="235">
        <f t="shared" si="3"/>
        <v>-476331133.14905649</v>
      </c>
      <c r="AB31" s="235">
        <f t="shared" si="4"/>
        <v>-52839010.273400307</v>
      </c>
      <c r="AC31" s="235">
        <f t="shared" si="13"/>
        <v>324073223.42955601</v>
      </c>
      <c r="AD31" s="235">
        <f t="shared" si="14"/>
        <v>-205096919.99290079</v>
      </c>
      <c r="AE31" s="228"/>
      <c r="AF31" s="237">
        <f t="shared" si="18"/>
        <v>27</v>
      </c>
      <c r="AG31" s="247">
        <f t="shared" si="19"/>
        <v>0.75015638555825714</v>
      </c>
      <c r="AH31" s="247">
        <f t="shared" si="5"/>
        <v>2.4464500516479436E-2</v>
      </c>
      <c r="AI31" s="248">
        <f>IFERROR((1000*NPV($AF$2,$AH31:$AH$90)-$AI$2*($AG31+NPV($AF$2,$AG32:$AG$90)))/AG31,0)</f>
        <v>503.31102831381622</v>
      </c>
    </row>
    <row r="32" spans="1:35">
      <c r="B32" s="25"/>
      <c r="C32" s="26"/>
      <c r="D32" s="237">
        <f t="shared" si="15"/>
        <v>28</v>
      </c>
      <c r="E32" s="224"/>
      <c r="F32" s="224"/>
      <c r="G32" s="225">
        <v>28.75</v>
      </c>
      <c r="H32" s="224">
        <f t="shared" si="6"/>
        <v>2000000</v>
      </c>
      <c r="I32" s="226">
        <f t="shared" si="7"/>
        <v>523.23750421865134</v>
      </c>
      <c r="J32" s="241">
        <f t="shared" si="8"/>
        <v>1046475.0084373027</v>
      </c>
      <c r="K32" s="226"/>
      <c r="L32" s="249">
        <v>3.6083578274476988E-2</v>
      </c>
      <c r="M32" s="243">
        <f t="shared" si="9"/>
        <v>36.083578274476984</v>
      </c>
      <c r="N32" s="245">
        <f t="shared" si="16"/>
        <v>7061.7077333415418</v>
      </c>
      <c r="O32" s="245">
        <f t="shared" si="0"/>
        <v>254.81168374750897</v>
      </c>
      <c r="P32" s="246">
        <f t="shared" si="10"/>
        <v>6806.8960495940328</v>
      </c>
      <c r="Q32" s="250"/>
      <c r="R32" s="235">
        <f t="shared" si="17"/>
        <v>7108470761.8395195</v>
      </c>
      <c r="S32" s="235">
        <f t="shared" si="17"/>
        <v>141234154.66683084</v>
      </c>
      <c r="T32" s="235">
        <f t="shared" si="11"/>
        <v>7123246600.9307575</v>
      </c>
      <c r="U32" s="235">
        <f t="shared" si="1"/>
        <v>136137920.99188066</v>
      </c>
      <c r="V32" s="250"/>
      <c r="W32" s="235">
        <v>0</v>
      </c>
      <c r="X32" s="235">
        <v>0</v>
      </c>
      <c r="Y32" s="235">
        <f t="shared" si="12"/>
        <v>-195698.26142582844</v>
      </c>
      <c r="Z32" s="235">
        <f t="shared" si="2"/>
        <v>-509623367.49501795</v>
      </c>
      <c r="AA32" s="235">
        <f t="shared" si="3"/>
        <v>-509819065.7564438</v>
      </c>
      <c r="AB32" s="235">
        <f t="shared" si="4"/>
        <v>-14775839.091238022</v>
      </c>
      <c r="AC32" s="235">
        <f t="shared" si="13"/>
        <v>326236721.24278575</v>
      </c>
      <c r="AD32" s="235">
        <f t="shared" si="14"/>
        <v>-198358183.60489607</v>
      </c>
      <c r="AE32" s="228"/>
      <c r="AF32" s="237">
        <f t="shared" si="18"/>
        <v>28</v>
      </c>
      <c r="AG32" s="247">
        <f t="shared" si="19"/>
        <v>0.72569188504177773</v>
      </c>
      <c r="AH32" s="247">
        <f t="shared" si="5"/>
        <v>2.6185559937057741E-2</v>
      </c>
      <c r="AI32" s="248">
        <f>IFERROR((1000*NPV($AF$2,$AH32:$AH$90)-$AI$2*($AG32+NPV($AF$2,$AG33:$AG$90)))/AG32,0)</f>
        <v>523.23750421865134</v>
      </c>
    </row>
    <row r="33" spans="2:35">
      <c r="B33" s="25"/>
      <c r="C33" s="26"/>
      <c r="D33" s="237">
        <f t="shared" si="15"/>
        <v>29</v>
      </c>
      <c r="E33" s="224"/>
      <c r="F33" s="224"/>
      <c r="G33" s="225">
        <v>28.75</v>
      </c>
      <c r="H33" s="224">
        <f t="shared" si="6"/>
        <v>2000000</v>
      </c>
      <c r="I33" s="226">
        <f t="shared" si="7"/>
        <v>543.01999853895802</v>
      </c>
      <c r="J33" s="241">
        <f t="shared" si="8"/>
        <v>1086039.9970779161</v>
      </c>
      <c r="K33" s="226"/>
      <c r="L33" s="249">
        <v>3.9924055796971572E-2</v>
      </c>
      <c r="M33" s="243">
        <f t="shared" si="9"/>
        <v>39.924055796971572</v>
      </c>
      <c r="N33" s="245">
        <f t="shared" si="16"/>
        <v>6806.8960495940328</v>
      </c>
      <c r="O33" s="245">
        <f t="shared" si="0"/>
        <v>271.75889768817751</v>
      </c>
      <c r="P33" s="246">
        <f t="shared" si="10"/>
        <v>6535.1371519058557</v>
      </c>
      <c r="Q33" s="250"/>
      <c r="R33" s="235">
        <f t="shared" si="17"/>
        <v>7123246600.9307575</v>
      </c>
      <c r="S33" s="235">
        <f t="shared" si="17"/>
        <v>136137920.99188066</v>
      </c>
      <c r="T33" s="235">
        <f t="shared" si="11"/>
        <v>7097420333.3596163</v>
      </c>
      <c r="U33" s="235">
        <f t="shared" si="1"/>
        <v>130702743.03811711</v>
      </c>
      <c r="V33" s="250"/>
      <c r="W33" s="235">
        <v>0</v>
      </c>
      <c r="X33" s="235">
        <v>0</v>
      </c>
      <c r="Y33" s="235">
        <f t="shared" si="12"/>
        <v>-187885.19311729335</v>
      </c>
      <c r="Z33" s="235">
        <f t="shared" si="2"/>
        <v>-543517795.37635505</v>
      </c>
      <c r="AA33" s="235">
        <f t="shared" si="3"/>
        <v>-543705680.56947231</v>
      </c>
      <c r="AB33" s="235">
        <f t="shared" si="4"/>
        <v>25826267.571141243</v>
      </c>
      <c r="AC33" s="235">
        <f t="shared" si="13"/>
        <v>326672303.48651868</v>
      </c>
      <c r="AD33" s="235">
        <f t="shared" si="14"/>
        <v>-191207109.51181239</v>
      </c>
      <c r="AE33" s="228"/>
      <c r="AF33" s="237">
        <f t="shared" si="18"/>
        <v>29</v>
      </c>
      <c r="AG33" s="247">
        <f t="shared" si="19"/>
        <v>0.69950632510471999</v>
      </c>
      <c r="AH33" s="247">
        <f t="shared" si="5"/>
        <v>2.7927129553815377E-2</v>
      </c>
      <c r="AI33" s="248">
        <f>IFERROR((1000*NPV($AF$2,$AH33:$AH$90)-$AI$2*($AG33+NPV($AF$2,$AG34:$AG$90)))/AG33,0)</f>
        <v>543.01999853895802</v>
      </c>
    </row>
    <row r="34" spans="2:35">
      <c r="B34" s="25"/>
      <c r="C34" s="26"/>
      <c r="D34" s="237">
        <f t="shared" si="15"/>
        <v>30</v>
      </c>
      <c r="E34" s="224"/>
      <c r="F34" s="224"/>
      <c r="G34" s="225">
        <v>28.75</v>
      </c>
      <c r="H34" s="224">
        <f t="shared" si="6"/>
        <v>2000000</v>
      </c>
      <c r="I34" s="226">
        <f t="shared" si="7"/>
        <v>562.62133610283149</v>
      </c>
      <c r="J34" s="241">
        <f t="shared" si="8"/>
        <v>1125242.6722056631</v>
      </c>
      <c r="K34" s="226"/>
      <c r="L34" s="249">
        <v>4.4173286228853151E-2</v>
      </c>
      <c r="M34" s="243">
        <f t="shared" si="9"/>
        <v>44.173286228853151</v>
      </c>
      <c r="N34" s="245">
        <f t="shared" si="16"/>
        <v>6535.1371519058557</v>
      </c>
      <c r="O34" s="245">
        <f t="shared" si="0"/>
        <v>288.67848395594956</v>
      </c>
      <c r="P34" s="246">
        <f t="shared" si="10"/>
        <v>6246.4586679499062</v>
      </c>
      <c r="Q34" s="250"/>
      <c r="R34" s="235">
        <f t="shared" si="17"/>
        <v>7097420333.3596163</v>
      </c>
      <c r="S34" s="235">
        <f t="shared" si="17"/>
        <v>130702743.03811711</v>
      </c>
      <c r="T34" s="235">
        <f t="shared" si="11"/>
        <v>7028781843.346179</v>
      </c>
      <c r="U34" s="235">
        <f t="shared" si="1"/>
        <v>124929173.35899812</v>
      </c>
      <c r="V34" s="250"/>
      <c r="W34" s="235">
        <v>0</v>
      </c>
      <c r="X34" s="235">
        <v>0</v>
      </c>
      <c r="Y34" s="235">
        <f t="shared" si="12"/>
        <v>-179585.6867035598</v>
      </c>
      <c r="Z34" s="235">
        <f t="shared" si="2"/>
        <v>-577356967.91189909</v>
      </c>
      <c r="AA34" s="235">
        <f t="shared" si="3"/>
        <v>-577536553.59860265</v>
      </c>
      <c r="AB34" s="235">
        <f t="shared" si="4"/>
        <v>68638490.013437271</v>
      </c>
      <c r="AC34" s="235">
        <f t="shared" si="13"/>
        <v>325265538.43789798</v>
      </c>
      <c r="AD34" s="235">
        <f t="shared" si="14"/>
        <v>-183632525.1472674</v>
      </c>
      <c r="AE34" s="228"/>
      <c r="AF34" s="237">
        <f t="shared" si="18"/>
        <v>30</v>
      </c>
      <c r="AG34" s="247">
        <f t="shared" si="19"/>
        <v>0.67157919555090462</v>
      </c>
      <c r="AH34" s="247">
        <f t="shared" si="5"/>
        <v>2.9665860030413053E-2</v>
      </c>
      <c r="AI34" s="248">
        <f>IFERROR((1000*NPV($AF$2,$AH34:$AH$90)-$AI$2*($AG34+NPV($AF$2,$AG35:$AG$90)))/AG34,0)</f>
        <v>562.62133610283149</v>
      </c>
    </row>
    <row r="35" spans="2:35">
      <c r="B35" s="25"/>
      <c r="C35" s="26"/>
      <c r="D35" s="237">
        <f t="shared" si="15"/>
        <v>31</v>
      </c>
      <c r="E35" s="224"/>
      <c r="F35" s="224"/>
      <c r="G35" s="225">
        <v>28.75</v>
      </c>
      <c r="H35" s="224">
        <f t="shared" si="6"/>
        <v>2000000</v>
      </c>
      <c r="I35" s="226">
        <f t="shared" si="7"/>
        <v>582.00441890498996</v>
      </c>
      <c r="J35" s="241">
        <f t="shared" si="8"/>
        <v>1164008.8378099799</v>
      </c>
      <c r="K35" s="226"/>
      <c r="L35" s="249">
        <v>4.8874774300966733E-2</v>
      </c>
      <c r="M35" s="243">
        <f t="shared" si="9"/>
        <v>48.874774300966735</v>
      </c>
      <c r="N35" s="245">
        <f t="shared" si="16"/>
        <v>6246.4586679499062</v>
      </c>
      <c r="O35" s="245">
        <f t="shared" si="0"/>
        <v>305.29425757636898</v>
      </c>
      <c r="P35" s="246">
        <f t="shared" si="10"/>
        <v>5941.1644103735371</v>
      </c>
      <c r="Q35" s="250"/>
      <c r="R35" s="235">
        <f t="shared" si="17"/>
        <v>7028781843.346179</v>
      </c>
      <c r="S35" s="235">
        <f t="shared" si="17"/>
        <v>124929173.35899812</v>
      </c>
      <c r="T35" s="235">
        <f t="shared" si="11"/>
        <v>6915567880.5569153</v>
      </c>
      <c r="U35" s="235">
        <f t="shared" si="1"/>
        <v>118823288.20747074</v>
      </c>
      <c r="V35" s="250"/>
      <c r="W35" s="235">
        <v>0</v>
      </c>
      <c r="X35" s="235">
        <v>0</v>
      </c>
      <c r="Y35" s="235">
        <f t="shared" si="12"/>
        <v>-170808.47679823919</v>
      </c>
      <c r="Z35" s="235">
        <f t="shared" si="2"/>
        <v>-610588515.15273798</v>
      </c>
      <c r="AA35" s="235">
        <f t="shared" si="3"/>
        <v>-610759323.62953627</v>
      </c>
      <c r="AB35" s="235">
        <f t="shared" si="4"/>
        <v>113213962.78926373</v>
      </c>
      <c r="AC35" s="235">
        <f t="shared" si="13"/>
        <v>321916995.75173295</v>
      </c>
      <c r="AD35" s="235">
        <f t="shared" si="14"/>
        <v>-175628365.0885396</v>
      </c>
      <c r="AE35" s="228"/>
      <c r="AF35" s="237">
        <f t="shared" si="18"/>
        <v>31</v>
      </c>
      <c r="AG35" s="247">
        <f t="shared" si="19"/>
        <v>0.64191333552049157</v>
      </c>
      <c r="AH35" s="247">
        <f t="shared" si="5"/>
        <v>3.1373369394344756E-2</v>
      </c>
      <c r="AI35" s="248">
        <f>IFERROR((1000*NPV($AF$2,$AH35:$AH$90)-$AI$2*($AG35+NPV($AF$2,$AG36:$AG$90)))/AG35,0)</f>
        <v>582.00441890498996</v>
      </c>
    </row>
    <row r="36" spans="2:35">
      <c r="B36" s="25"/>
      <c r="C36" s="26"/>
      <c r="D36" s="237">
        <f t="shared" si="15"/>
        <v>32</v>
      </c>
      <c r="E36" s="224"/>
      <c r="F36" s="224"/>
      <c r="G36" s="225">
        <v>28.75</v>
      </c>
      <c r="H36" s="224">
        <f t="shared" si="6"/>
        <v>2000000</v>
      </c>
      <c r="I36" s="226">
        <f t="shared" si="7"/>
        <v>601.13250465432873</v>
      </c>
      <c r="J36" s="241">
        <f t="shared" si="8"/>
        <v>1202265.0093086574</v>
      </c>
      <c r="K36" s="226"/>
      <c r="L36" s="249">
        <v>5.4076655075984692E-2</v>
      </c>
      <c r="M36" s="243">
        <f t="shared" si="9"/>
        <v>54.076655075984689</v>
      </c>
      <c r="N36" s="245">
        <f t="shared" si="16"/>
        <v>5941.1644103735371</v>
      </c>
      <c r="O36" s="245">
        <f t="shared" si="0"/>
        <v>321.27829856948574</v>
      </c>
      <c r="P36" s="246">
        <f t="shared" si="10"/>
        <v>5619.8861118040513</v>
      </c>
      <c r="Q36" s="250"/>
      <c r="R36" s="235">
        <f t="shared" si="17"/>
        <v>6915567880.5569153</v>
      </c>
      <c r="S36" s="235">
        <f t="shared" si="17"/>
        <v>118823288.20747074</v>
      </c>
      <c r="T36" s="235">
        <f t="shared" si="11"/>
        <v>6756592428.5216923</v>
      </c>
      <c r="U36" s="235">
        <f t="shared" si="1"/>
        <v>112397722.23608103</v>
      </c>
      <c r="V36" s="250"/>
      <c r="W36" s="235">
        <v>0</v>
      </c>
      <c r="X36" s="235">
        <v>0</v>
      </c>
      <c r="Y36" s="235">
        <f t="shared" si="12"/>
        <v>-161571.72571436648</v>
      </c>
      <c r="Z36" s="235">
        <f t="shared" si="2"/>
        <v>-642556597.13897145</v>
      </c>
      <c r="AA36" s="235">
        <f t="shared" si="3"/>
        <v>-642718168.86468577</v>
      </c>
      <c r="AB36" s="235">
        <f t="shared" si="4"/>
        <v>158975452.03522301</v>
      </c>
      <c r="AC36" s="235">
        <f t="shared" si="13"/>
        <v>316547602.59439737</v>
      </c>
      <c r="AD36" s="235">
        <f t="shared" si="14"/>
        <v>-167195114.2350654</v>
      </c>
      <c r="AE36" s="228"/>
      <c r="AF36" s="237">
        <f t="shared" si="18"/>
        <v>32</v>
      </c>
      <c r="AG36" s="247">
        <f t="shared" si="19"/>
        <v>0.6105399661261468</v>
      </c>
      <c r="AH36" s="247">
        <f t="shared" si="5"/>
        <v>3.3015959158307018E-2</v>
      </c>
      <c r="AI36" s="248">
        <f>IFERROR((1000*NPV($AF$2,$AH36:$AH$90)-$AI$2*($AG36+NPV($AF$2,$AG37:$AG$90)))/AG36,0)</f>
        <v>601.13250465432873</v>
      </c>
    </row>
    <row r="37" spans="2:35">
      <c r="B37" s="25"/>
      <c r="C37" s="26"/>
      <c r="D37" s="237">
        <f t="shared" si="15"/>
        <v>33</v>
      </c>
      <c r="E37" s="224"/>
      <c r="F37" s="224"/>
      <c r="G37" s="225">
        <v>28.75</v>
      </c>
      <c r="H37" s="224">
        <f t="shared" si="6"/>
        <v>2000000</v>
      </c>
      <c r="I37" s="226">
        <f t="shared" si="7"/>
        <v>619.96949405638782</v>
      </c>
      <c r="J37" s="241">
        <f t="shared" ref="J37:J68" si="20">H37*I37/1000</f>
        <v>1239938.9881127756</v>
      </c>
      <c r="K37" s="226"/>
      <c r="L37" s="249">
        <v>5.9832186767749027E-2</v>
      </c>
      <c r="M37" s="243">
        <f t="shared" si="9"/>
        <v>59.832186767749029</v>
      </c>
      <c r="N37" s="245">
        <f t="shared" si="16"/>
        <v>5619.8861118040513</v>
      </c>
      <c r="O37" s="245">
        <f t="shared" ref="O37:O68" si="21">M37*N37/1000</f>
        <v>336.25007545493895</v>
      </c>
      <c r="P37" s="246">
        <f t="shared" si="10"/>
        <v>5283.6360363491121</v>
      </c>
      <c r="Q37" s="250"/>
      <c r="R37" s="235">
        <f t="shared" si="17"/>
        <v>6756592428.5216923</v>
      </c>
      <c r="S37" s="235">
        <f t="shared" si="17"/>
        <v>112397722.23608103</v>
      </c>
      <c r="T37" s="235">
        <f t="shared" ref="T37:T68" si="22">J37*P37</f>
        <v>6551386320.4669142</v>
      </c>
      <c r="U37" s="235">
        <f t="shared" ref="U37:U68" si="23">$B$15*H37*P37</f>
        <v>105672720.72698224</v>
      </c>
      <c r="V37" s="250"/>
      <c r="W37" s="235">
        <v>0</v>
      </c>
      <c r="X37" s="235">
        <v>0</v>
      </c>
      <c r="Y37" s="235">
        <f t="shared" si="12"/>
        <v>-151904.53604503698</v>
      </c>
      <c r="Z37" s="235">
        <f t="shared" ref="Z37:Z68" si="24">-H37*O37</f>
        <v>-672500150.9098779</v>
      </c>
      <c r="AA37" s="235">
        <f t="shared" ref="AA37:AA68" si="25">SUM(W37:Z37)</f>
        <v>-672652055.44592297</v>
      </c>
      <c r="AB37" s="235">
        <f t="shared" ref="AB37:AB68" si="26">R37-T37</f>
        <v>205206108.0547781</v>
      </c>
      <c r="AC37" s="235">
        <f t="shared" si="13"/>
        <v>309104556.78409982</v>
      </c>
      <c r="AD37" s="235">
        <f t="shared" si="14"/>
        <v>-158341390.60704505</v>
      </c>
      <c r="AE37" s="228"/>
      <c r="AF37" s="237">
        <f t="shared" si="18"/>
        <v>33</v>
      </c>
      <c r="AG37" s="247">
        <f t="shared" si="19"/>
        <v>0.57752400696783979</v>
      </c>
      <c r="AH37" s="247">
        <f t="shared" ref="AH37:AH68" si="27">M37*AG37/1000</f>
        <v>3.4554524247758581E-2</v>
      </c>
      <c r="AI37" s="248">
        <f>IFERROR((1000*NPV($AF$2,$AH37:$AH$90)-$AI$2*($AG37+NPV($AF$2,$AG38:$AG$90)))/AG37,0)</f>
        <v>619.96949405638782</v>
      </c>
    </row>
    <row r="38" spans="2:35">
      <c r="B38" s="25"/>
      <c r="C38" s="26"/>
      <c r="D38" s="237">
        <f t="shared" si="15"/>
        <v>34</v>
      </c>
      <c r="E38" s="224"/>
      <c r="F38" s="224"/>
      <c r="G38" s="225">
        <v>28.75</v>
      </c>
      <c r="H38" s="224">
        <f t="shared" si="6"/>
        <v>2000000</v>
      </c>
      <c r="I38" s="226">
        <f t="shared" si="7"/>
        <v>638.48022279269151</v>
      </c>
      <c r="J38" s="241">
        <f t="shared" si="20"/>
        <v>1276960.4455853829</v>
      </c>
      <c r="K38" s="226"/>
      <c r="L38" s="249">
        <v>6.6200296012772858E-2</v>
      </c>
      <c r="M38" s="243">
        <f t="shared" si="9"/>
        <v>66.200296012772853</v>
      </c>
      <c r="N38" s="245">
        <f t="shared" si="16"/>
        <v>5283.6360363491121</v>
      </c>
      <c r="O38" s="245">
        <f t="shared" si="21"/>
        <v>349.7782696300651</v>
      </c>
      <c r="P38" s="246">
        <f t="shared" ref="P38:P69" si="28">N38-O38</f>
        <v>4933.8577667190475</v>
      </c>
      <c r="Q38" s="250"/>
      <c r="R38" s="235">
        <f t="shared" si="17"/>
        <v>6551386320.4669142</v>
      </c>
      <c r="S38" s="235">
        <f t="shared" si="17"/>
        <v>105672720.72698224</v>
      </c>
      <c r="T38" s="235">
        <f t="shared" si="22"/>
        <v>6300341212.2444572</v>
      </c>
      <c r="U38" s="235">
        <f t="shared" si="23"/>
        <v>98677155.334380955</v>
      </c>
      <c r="V38" s="250"/>
      <c r="W38" s="235">
        <v>0</v>
      </c>
      <c r="X38" s="235">
        <v>0</v>
      </c>
      <c r="Y38" s="235">
        <f t="shared" ref="Y38:Y69" si="29">-$P38*G38</f>
        <v>-141848.4107931726</v>
      </c>
      <c r="Z38" s="235">
        <f t="shared" si="24"/>
        <v>-699556539.26013017</v>
      </c>
      <c r="AA38" s="235">
        <f t="shared" si="25"/>
        <v>-699698387.67092335</v>
      </c>
      <c r="AB38" s="235">
        <f t="shared" si="26"/>
        <v>251045108.22245693</v>
      </c>
      <c r="AC38" s="235">
        <f t="shared" ref="AC38:AC69" si="30">$B$13*SUM(R38:S38,W38:X38)</f>
        <v>299567656.85372531</v>
      </c>
      <c r="AD38" s="235">
        <f t="shared" si="14"/>
        <v>-149085622.59474111</v>
      </c>
      <c r="AE38" s="228"/>
      <c r="AF38" s="237">
        <f t="shared" si="18"/>
        <v>34</v>
      </c>
      <c r="AG38" s="247">
        <f t="shared" si="19"/>
        <v>0.54296948272008116</v>
      </c>
      <c r="AH38" s="247">
        <f t="shared" si="27"/>
        <v>3.5944740481971528E-2</v>
      </c>
      <c r="AI38" s="248">
        <f>IFERROR((1000*NPV($AF$2,$AH38:$AH$90)-$AI$2*($AG38+NPV($AF$2,$AG39:$AG$90)))/AG38,0)</f>
        <v>638.48022279269151</v>
      </c>
    </row>
    <row r="39" spans="2:35">
      <c r="B39" s="25"/>
      <c r="D39" s="237">
        <f t="shared" si="15"/>
        <v>35</v>
      </c>
      <c r="E39" s="224"/>
      <c r="F39" s="224"/>
      <c r="G39" s="225">
        <v>28.75</v>
      </c>
      <c r="H39" s="224">
        <f t="shared" si="6"/>
        <v>2000000</v>
      </c>
      <c r="I39" s="226">
        <f t="shared" si="7"/>
        <v>656.63075376618872</v>
      </c>
      <c r="J39" s="241">
        <f t="shared" si="20"/>
        <v>1313261.5075323775</v>
      </c>
      <c r="K39" s="226"/>
      <c r="L39" s="249">
        <v>7.3246181176533726E-2</v>
      </c>
      <c r="M39" s="243">
        <f t="shared" si="9"/>
        <v>73.246181176533725</v>
      </c>
      <c r="N39" s="245">
        <f t="shared" si="16"/>
        <v>4933.8577667190475</v>
      </c>
      <c r="O39" s="245">
        <f t="shared" si="21"/>
        <v>361.38623988035141</v>
      </c>
      <c r="P39" s="246">
        <f t="shared" si="28"/>
        <v>4572.4715268386963</v>
      </c>
      <c r="Q39" s="250"/>
      <c r="R39" s="235">
        <f t="shared" si="17"/>
        <v>6300341212.2444572</v>
      </c>
      <c r="S39" s="235">
        <f t="shared" si="17"/>
        <v>98677155.334380955</v>
      </c>
      <c r="T39" s="235">
        <f t="shared" si="22"/>
        <v>6004850850.4850578</v>
      </c>
      <c r="U39" s="235">
        <f t="shared" si="23"/>
        <v>91449430.53677392</v>
      </c>
      <c r="V39" s="250"/>
      <c r="W39" s="235">
        <v>0</v>
      </c>
      <c r="X39" s="235">
        <v>0</v>
      </c>
      <c r="Y39" s="235">
        <f t="shared" si="29"/>
        <v>-131458.55639661252</v>
      </c>
      <c r="Z39" s="235">
        <f t="shared" si="24"/>
        <v>-722772479.76070285</v>
      </c>
      <c r="AA39" s="235">
        <f t="shared" si="25"/>
        <v>-722903938.31709945</v>
      </c>
      <c r="AB39" s="235">
        <f t="shared" si="26"/>
        <v>295490361.75939941</v>
      </c>
      <c r="AC39" s="235">
        <f t="shared" si="30"/>
        <v>287955826.54104769</v>
      </c>
      <c r="AD39" s="235">
        <f t="shared" si="14"/>
        <v>-139457750.01665235</v>
      </c>
      <c r="AE39" s="228"/>
      <c r="AF39" s="237">
        <f t="shared" si="18"/>
        <v>35</v>
      </c>
      <c r="AG39" s="247">
        <f t="shared" si="19"/>
        <v>0.50702474223810967</v>
      </c>
      <c r="AH39" s="247">
        <f t="shared" si="27"/>
        <v>3.713762613095789E-2</v>
      </c>
      <c r="AI39" s="248">
        <f>IFERROR((1000*NPV($AF$2,$AH39:$AH$90)-$AI$2*($AG39+NPV($AF$2,$AG40:$AG$90)))/AG39,0)</f>
        <v>656.63075376618872</v>
      </c>
    </row>
    <row r="40" spans="2:35">
      <c r="B40" s="25"/>
      <c r="D40" s="237">
        <f t="shared" si="15"/>
        <v>36</v>
      </c>
      <c r="E40" s="224"/>
      <c r="F40" s="224"/>
      <c r="G40" s="225">
        <v>28.75</v>
      </c>
      <c r="H40" s="224">
        <f t="shared" si="6"/>
        <v>2000000</v>
      </c>
      <c r="I40" s="226">
        <f t="shared" si="7"/>
        <v>674.38866487531095</v>
      </c>
      <c r="J40" s="241">
        <f t="shared" si="20"/>
        <v>1348777.3297506217</v>
      </c>
      <c r="K40" s="226"/>
      <c r="L40" s="249">
        <v>8.104197987136591E-2</v>
      </c>
      <c r="M40" s="243">
        <f t="shared" si="9"/>
        <v>81.041979871365911</v>
      </c>
      <c r="N40" s="245">
        <f t="shared" si="16"/>
        <v>4572.4715268386963</v>
      </c>
      <c r="O40" s="245">
        <f t="shared" si="21"/>
        <v>370.56214544045537</v>
      </c>
      <c r="P40" s="246">
        <f t="shared" si="28"/>
        <v>4201.9093813982408</v>
      </c>
      <c r="Q40" s="250"/>
      <c r="R40" s="235">
        <f t="shared" si="17"/>
        <v>6004850850.4850578</v>
      </c>
      <c r="S40" s="235">
        <f t="shared" si="17"/>
        <v>91449430.53677392</v>
      </c>
      <c r="T40" s="235">
        <f t="shared" si="22"/>
        <v>5667440115.2964058</v>
      </c>
      <c r="U40" s="235">
        <f t="shared" si="23"/>
        <v>84038187.62796481</v>
      </c>
      <c r="V40" s="250"/>
      <c r="W40" s="235">
        <v>0</v>
      </c>
      <c r="X40" s="235">
        <v>0</v>
      </c>
      <c r="Y40" s="235">
        <f t="shared" si="29"/>
        <v>-120804.89471519942</v>
      </c>
      <c r="Z40" s="235">
        <f t="shared" si="24"/>
        <v>-741124290.88091075</v>
      </c>
      <c r="AA40" s="235">
        <f t="shared" si="25"/>
        <v>-741245095.77562594</v>
      </c>
      <c r="AB40" s="235">
        <f t="shared" si="26"/>
        <v>337410735.18865204</v>
      </c>
      <c r="AC40" s="235">
        <f t="shared" si="30"/>
        <v>274333512.64598238</v>
      </c>
      <c r="AD40" s="235">
        <f t="shared" si="14"/>
        <v>-129500847.94099152</v>
      </c>
      <c r="AE40" s="228"/>
      <c r="AF40" s="237">
        <f t="shared" si="18"/>
        <v>36</v>
      </c>
      <c r="AG40" s="247">
        <f t="shared" si="19"/>
        <v>0.46988711610715178</v>
      </c>
      <c r="AH40" s="247">
        <f t="shared" si="27"/>
        <v>3.8080582205369973E-2</v>
      </c>
      <c r="AI40" s="248">
        <f>IFERROR((1000*NPV($AF$2,$AH40:$AH$90)-$AI$2*($AG40+NPV($AF$2,$AG41:$AG$90)))/AG40,0)</f>
        <v>674.38866487531095</v>
      </c>
    </row>
    <row r="41" spans="2:35">
      <c r="B41" s="25"/>
      <c r="D41" s="237">
        <f t="shared" si="15"/>
        <v>37</v>
      </c>
      <c r="E41" s="224"/>
      <c r="F41" s="224"/>
      <c r="G41" s="225">
        <v>28.75</v>
      </c>
      <c r="H41" s="224">
        <f t="shared" si="6"/>
        <v>2000000</v>
      </c>
      <c r="I41" s="226">
        <f t="shared" si="7"/>
        <v>691.72332737694489</v>
      </c>
      <c r="J41" s="241">
        <f t="shared" si="20"/>
        <v>1383446.6547538899</v>
      </c>
      <c r="K41" s="226"/>
      <c r="L41" s="249">
        <v>8.9667507520174231E-2</v>
      </c>
      <c r="M41" s="243">
        <f t="shared" si="9"/>
        <v>89.667507520174226</v>
      </c>
      <c r="N41" s="245">
        <f t="shared" si="16"/>
        <v>4201.9093813982408</v>
      </c>
      <c r="O41" s="245">
        <f t="shared" si="21"/>
        <v>376.77474105561743</v>
      </c>
      <c r="P41" s="246">
        <f t="shared" si="28"/>
        <v>3825.1346403426232</v>
      </c>
      <c r="Q41" s="250"/>
      <c r="R41" s="235">
        <f t="shared" si="17"/>
        <v>5667440115.2964058</v>
      </c>
      <c r="S41" s="235">
        <f t="shared" si="17"/>
        <v>84038187.62796481</v>
      </c>
      <c r="T41" s="235">
        <f t="shared" si="22"/>
        <v>5291869722.165226</v>
      </c>
      <c r="U41" s="235">
        <f t="shared" si="23"/>
        <v>76502692.80685246</v>
      </c>
      <c r="V41" s="250"/>
      <c r="W41" s="235">
        <v>0</v>
      </c>
      <c r="X41" s="235">
        <v>0</v>
      </c>
      <c r="Y41" s="235">
        <f t="shared" si="29"/>
        <v>-109972.62090985042</v>
      </c>
      <c r="Z41" s="235">
        <f t="shared" si="24"/>
        <v>-753549482.1112349</v>
      </c>
      <c r="AA41" s="235">
        <f t="shared" si="25"/>
        <v>-753659454.73214471</v>
      </c>
      <c r="AB41" s="235">
        <f t="shared" si="26"/>
        <v>375570393.13117981</v>
      </c>
      <c r="AC41" s="235">
        <f t="shared" si="30"/>
        <v>258816523.63159668</v>
      </c>
      <c r="AD41" s="235">
        <f t="shared" si="14"/>
        <v>-119272537.96936822</v>
      </c>
      <c r="AE41" s="228"/>
      <c r="AF41" s="237">
        <f t="shared" si="18"/>
        <v>37</v>
      </c>
      <c r="AG41" s="247">
        <f t="shared" si="19"/>
        <v>0.43180653390178181</v>
      </c>
      <c r="AH41" s="247">
        <f t="shared" si="27"/>
        <v>3.8719015625898384E-2</v>
      </c>
      <c r="AI41" s="248">
        <f>IFERROR((1000*NPV($AF$2,$AH41:$AH$90)-$AI$2*($AG41+NPV($AF$2,$AG42:$AG$90)))/AG41,0)</f>
        <v>691.72332737694489</v>
      </c>
    </row>
    <row r="42" spans="2:35">
      <c r="B42" s="25"/>
      <c r="D42" s="237">
        <f t="shared" si="15"/>
        <v>38</v>
      </c>
      <c r="E42" s="224"/>
      <c r="F42" s="224"/>
      <c r="G42" s="225">
        <v>28.75</v>
      </c>
      <c r="H42" s="224">
        <f t="shared" si="6"/>
        <v>2000000</v>
      </c>
      <c r="I42" s="226">
        <f t="shared" si="7"/>
        <v>708.60616981689759</v>
      </c>
      <c r="J42" s="241">
        <f t="shared" si="20"/>
        <v>1417212.3396337952</v>
      </c>
      <c r="K42" s="226"/>
      <c r="L42" s="249">
        <v>9.9211074527577214E-2</v>
      </c>
      <c r="M42" s="243">
        <f t="shared" si="9"/>
        <v>99.21107452757721</v>
      </c>
      <c r="N42" s="245">
        <f t="shared" si="16"/>
        <v>3825.1346403426232</v>
      </c>
      <c r="O42" s="245">
        <f t="shared" si="21"/>
        <v>379.49571788104925</v>
      </c>
      <c r="P42" s="246">
        <f t="shared" si="28"/>
        <v>3445.6389224615741</v>
      </c>
      <c r="Q42" s="250"/>
      <c r="R42" s="235">
        <f t="shared" si="17"/>
        <v>5291869722.165226</v>
      </c>
      <c r="S42" s="235">
        <f t="shared" si="17"/>
        <v>76502692.80685246</v>
      </c>
      <c r="T42" s="235">
        <f t="shared" si="22"/>
        <v>4883201998.8350363</v>
      </c>
      <c r="U42" s="235">
        <f t="shared" si="23"/>
        <v>68912778.449231476</v>
      </c>
      <c r="V42" s="250"/>
      <c r="W42" s="235">
        <v>0</v>
      </c>
      <c r="X42" s="235">
        <v>0</v>
      </c>
      <c r="Y42" s="235">
        <f t="shared" si="29"/>
        <v>-99062.11902077026</v>
      </c>
      <c r="Z42" s="235">
        <f t="shared" si="24"/>
        <v>-758991435.76209843</v>
      </c>
      <c r="AA42" s="235">
        <f t="shared" si="25"/>
        <v>-759090497.88111925</v>
      </c>
      <c r="AB42" s="235">
        <f t="shared" si="26"/>
        <v>408667723.3301897</v>
      </c>
      <c r="AC42" s="235">
        <f t="shared" si="30"/>
        <v>241576758.67374352</v>
      </c>
      <c r="AD42" s="235">
        <f t="shared" si="14"/>
        <v>-108846015.87718603</v>
      </c>
      <c r="AE42" s="228"/>
      <c r="AF42" s="237">
        <f t="shared" si="18"/>
        <v>38</v>
      </c>
      <c r="AG42" s="247">
        <f t="shared" si="19"/>
        <v>0.3930875182758834</v>
      </c>
      <c r="AH42" s="247">
        <f t="shared" si="27"/>
        <v>3.8998635071529036E-2</v>
      </c>
      <c r="AI42" s="248">
        <f>IFERROR((1000*NPV($AF$2,$AH42:$AH$90)-$AI$2*($AG42+NPV($AF$2,$AG43:$AG$90)))/AG42,0)</f>
        <v>708.60616981689759</v>
      </c>
    </row>
    <row r="43" spans="2:35">
      <c r="D43" s="237">
        <f t="shared" si="15"/>
        <v>39</v>
      </c>
      <c r="E43" s="224"/>
      <c r="F43" s="224"/>
      <c r="G43" s="225">
        <v>28.75</v>
      </c>
      <c r="H43" s="224">
        <f t="shared" si="6"/>
        <v>2000000</v>
      </c>
      <c r="I43" s="226">
        <f t="shared" si="7"/>
        <v>725.01092255728543</v>
      </c>
      <c r="J43" s="241">
        <f t="shared" si="20"/>
        <v>1450021.8451145708</v>
      </c>
      <c r="K43" s="226"/>
      <c r="L43" s="249">
        <v>0.10977039042489223</v>
      </c>
      <c r="M43" s="243">
        <f t="shared" si="9"/>
        <v>109.77039042489223</v>
      </c>
      <c r="N43" s="245">
        <f t="shared" si="16"/>
        <v>3445.6389224615741</v>
      </c>
      <c r="O43" s="245">
        <f t="shared" si="21"/>
        <v>378.22912978181199</v>
      </c>
      <c r="P43" s="246">
        <f t="shared" si="28"/>
        <v>3067.4097926797622</v>
      </c>
      <c r="Q43" s="250"/>
      <c r="R43" s="235">
        <f t="shared" si="17"/>
        <v>4883201998.8350363</v>
      </c>
      <c r="S43" s="235">
        <f t="shared" si="17"/>
        <v>68912778.449231476</v>
      </c>
      <c r="T43" s="235">
        <f t="shared" si="22"/>
        <v>4447811207.3040123</v>
      </c>
      <c r="U43" s="235">
        <f t="shared" si="23"/>
        <v>61348195.853595242</v>
      </c>
      <c r="V43" s="250"/>
      <c r="W43" s="235">
        <v>0</v>
      </c>
      <c r="X43" s="235">
        <v>0</v>
      </c>
      <c r="Y43" s="235">
        <f t="shared" si="29"/>
        <v>-88188.031539543168</v>
      </c>
      <c r="Z43" s="235">
        <f t="shared" si="24"/>
        <v>-756458259.56362402</v>
      </c>
      <c r="AA43" s="235">
        <f t="shared" si="25"/>
        <v>-756546447.59516358</v>
      </c>
      <c r="AB43" s="235">
        <f t="shared" si="26"/>
        <v>435390791.53102398</v>
      </c>
      <c r="AC43" s="235">
        <f t="shared" si="30"/>
        <v>222845164.97779202</v>
      </c>
      <c r="AD43" s="235">
        <f t="shared" si="14"/>
        <v>-98310491.08634758</v>
      </c>
      <c r="AE43" s="228"/>
      <c r="AF43" s="237">
        <f t="shared" si="18"/>
        <v>39</v>
      </c>
      <c r="AG43" s="247">
        <f t="shared" si="19"/>
        <v>0.35408888320435439</v>
      </c>
      <c r="AH43" s="247">
        <f t="shared" si="27"/>
        <v>3.8868474954456049E-2</v>
      </c>
      <c r="AI43" s="248">
        <f>IFERROR((1000*NPV($AF$2,$AH43:$AH$90)-$AI$2*($AG43+NPV($AF$2,$AG44:$AG$90)))/AG43,0)</f>
        <v>725.01092255728543</v>
      </c>
    </row>
    <row r="44" spans="2:35">
      <c r="D44" s="237">
        <f t="shared" si="15"/>
        <v>40</v>
      </c>
      <c r="E44" s="224"/>
      <c r="F44" s="224"/>
      <c r="G44" s="225">
        <v>28.75</v>
      </c>
      <c r="H44" s="224">
        <f t="shared" si="6"/>
        <v>2000000</v>
      </c>
      <c r="I44" s="226">
        <f t="shared" si="7"/>
        <v>740.91383812053141</v>
      </c>
      <c r="J44" s="241">
        <f t="shared" si="20"/>
        <v>1481827.6762410628</v>
      </c>
      <c r="K44" s="226"/>
      <c r="L44" s="249">
        <v>0.12145356424583342</v>
      </c>
      <c r="M44" s="243">
        <f t="shared" si="9"/>
        <v>121.45356424583342</v>
      </c>
      <c r="N44" s="245">
        <f t="shared" si="16"/>
        <v>3067.4097926797622</v>
      </c>
      <c r="O44" s="245">
        <f t="shared" si="21"/>
        <v>372.54785232353009</v>
      </c>
      <c r="P44" s="246">
        <f t="shared" si="28"/>
        <v>2694.861940356232</v>
      </c>
      <c r="Q44" s="250"/>
      <c r="R44" s="235">
        <f t="shared" si="17"/>
        <v>4447811207.3040123</v>
      </c>
      <c r="S44" s="235">
        <f t="shared" si="17"/>
        <v>61348195.853595242</v>
      </c>
      <c r="T44" s="235">
        <f t="shared" si="22"/>
        <v>3993321006.868557</v>
      </c>
      <c r="U44" s="235">
        <f t="shared" si="23"/>
        <v>53897238.807124637</v>
      </c>
      <c r="V44" s="250"/>
      <c r="W44" s="235">
        <v>0</v>
      </c>
      <c r="X44" s="235">
        <v>0</v>
      </c>
      <c r="Y44" s="235">
        <f t="shared" si="29"/>
        <v>-77477.280785241674</v>
      </c>
      <c r="Z44" s="235">
        <f t="shared" si="24"/>
        <v>-745095704.64706016</v>
      </c>
      <c r="AA44" s="235">
        <f t="shared" si="25"/>
        <v>-745173181.92784536</v>
      </c>
      <c r="AB44" s="235">
        <f t="shared" si="26"/>
        <v>454490200.43545532</v>
      </c>
      <c r="AC44" s="235">
        <f t="shared" si="30"/>
        <v>202912173.14209232</v>
      </c>
      <c r="AD44" s="235">
        <f t="shared" si="14"/>
        <v>-87770808.350297719</v>
      </c>
      <c r="AE44" s="228"/>
      <c r="AF44" s="237">
        <f t="shared" si="18"/>
        <v>40</v>
      </c>
      <c r="AG44" s="247">
        <f t="shared" si="19"/>
        <v>0.31522040824989833</v>
      </c>
      <c r="AH44" s="247">
        <f t="shared" si="27"/>
        <v>3.8284642104976868E-2</v>
      </c>
      <c r="AI44" s="248">
        <f>IFERROR((1000*NPV($AF$2,$AH44:$AH$90)-$AI$2*($AG44+NPV($AF$2,$AG45:$AG$90)))/AG44,0)</f>
        <v>740.91383812053141</v>
      </c>
    </row>
    <row r="45" spans="2:35">
      <c r="D45" s="237">
        <f t="shared" si="15"/>
        <v>41</v>
      </c>
      <c r="E45" s="224"/>
      <c r="F45" s="224"/>
      <c r="G45" s="225">
        <v>28.75</v>
      </c>
      <c r="H45" s="224">
        <f t="shared" si="6"/>
        <v>2000000</v>
      </c>
      <c r="I45" s="226">
        <f t="shared" si="7"/>
        <v>756.29388289908491</v>
      </c>
      <c r="J45" s="241">
        <f t="shared" si="20"/>
        <v>1512587.7657981699</v>
      </c>
      <c r="K45" s="226"/>
      <c r="L45" s="249">
        <v>0.13438021137503184</v>
      </c>
      <c r="M45" s="243">
        <f t="shared" si="9"/>
        <v>134.38021137503185</v>
      </c>
      <c r="N45" s="245">
        <f t="shared" si="16"/>
        <v>2694.861940356232</v>
      </c>
      <c r="O45" s="245">
        <f t="shared" si="21"/>
        <v>362.13611717159893</v>
      </c>
      <c r="P45" s="246">
        <f t="shared" si="28"/>
        <v>2332.7258231846331</v>
      </c>
      <c r="Q45" s="250"/>
      <c r="R45" s="235">
        <f t="shared" si="17"/>
        <v>3993321006.868557</v>
      </c>
      <c r="S45" s="235">
        <f t="shared" si="17"/>
        <v>53897238.807124637</v>
      </c>
      <c r="T45" s="235">
        <f t="shared" si="22"/>
        <v>3528452541.1105409</v>
      </c>
      <c r="U45" s="235">
        <f t="shared" si="23"/>
        <v>46654516.463692665</v>
      </c>
      <c r="V45" s="250"/>
      <c r="W45" s="235">
        <v>0</v>
      </c>
      <c r="X45" s="235">
        <v>0</v>
      </c>
      <c r="Y45" s="235">
        <f t="shared" si="29"/>
        <v>-67065.867416558205</v>
      </c>
      <c r="Z45" s="235">
        <f t="shared" si="24"/>
        <v>-724272234.34319782</v>
      </c>
      <c r="AA45" s="235">
        <f t="shared" si="25"/>
        <v>-724339300.21061432</v>
      </c>
      <c r="AB45" s="235">
        <f t="shared" si="26"/>
        <v>464868465.75801611</v>
      </c>
      <c r="AC45" s="235">
        <f t="shared" si="30"/>
        <v>182124821.05540568</v>
      </c>
      <c r="AD45" s="235">
        <f t="shared" si="14"/>
        <v>-77346013.397192538</v>
      </c>
      <c r="AE45" s="228"/>
      <c r="AF45" s="237">
        <f t="shared" si="18"/>
        <v>41</v>
      </c>
      <c r="AG45" s="247">
        <f t="shared" si="19"/>
        <v>0.27693576614492144</v>
      </c>
      <c r="AH45" s="247">
        <f t="shared" si="27"/>
        <v>3.7214686791860935E-2</v>
      </c>
      <c r="AI45" s="248">
        <f>IFERROR((1000*NPV($AF$2,$AH45:$AH$90)-$AI$2*($AG45+NPV($AF$2,$AG46:$AG$90)))/AG45,0)</f>
        <v>756.29388289908491</v>
      </c>
    </row>
    <row r="46" spans="2:35">
      <c r="D46" s="237">
        <f t="shared" si="15"/>
        <v>42</v>
      </c>
      <c r="E46" s="224"/>
      <c r="F46" s="224"/>
      <c r="G46" s="225">
        <v>28.75</v>
      </c>
      <c r="H46" s="224">
        <f t="shared" si="6"/>
        <v>2000000</v>
      </c>
      <c r="I46" s="226">
        <f t="shared" si="7"/>
        <v>771.13289623900516</v>
      </c>
      <c r="J46" s="241">
        <f t="shared" si="20"/>
        <v>1542265.7924780105</v>
      </c>
      <c r="K46" s="226"/>
      <c r="L46" s="249">
        <v>0.14868267820158054</v>
      </c>
      <c r="M46" s="243">
        <f t="shared" si="9"/>
        <v>148.68267820158053</v>
      </c>
      <c r="N46" s="245">
        <f t="shared" si="16"/>
        <v>2332.7258231846331</v>
      </c>
      <c r="O46" s="245">
        <f t="shared" si="21"/>
        <v>346.83592290107782</v>
      </c>
      <c r="P46" s="246">
        <f t="shared" si="28"/>
        <v>1985.8899002835553</v>
      </c>
      <c r="Q46" s="250"/>
      <c r="R46" s="235">
        <f t="shared" si="17"/>
        <v>3528452541.1105409</v>
      </c>
      <c r="S46" s="235">
        <f t="shared" si="17"/>
        <v>46654516.463692665</v>
      </c>
      <c r="T46" s="235">
        <f t="shared" si="22"/>
        <v>3062770060.8348947</v>
      </c>
      <c r="U46" s="235">
        <f t="shared" si="23"/>
        <v>39717798.005671106</v>
      </c>
      <c r="V46" s="250"/>
      <c r="W46" s="235">
        <v>0</v>
      </c>
      <c r="X46" s="235">
        <v>0</v>
      </c>
      <c r="Y46" s="235">
        <f t="shared" si="29"/>
        <v>-57094.334633152219</v>
      </c>
      <c r="Z46" s="235">
        <f t="shared" si="24"/>
        <v>-693671845.80215561</v>
      </c>
      <c r="AA46" s="235">
        <f t="shared" si="25"/>
        <v>-693728940.13678873</v>
      </c>
      <c r="AB46" s="235">
        <f t="shared" si="26"/>
        <v>465682480.27564621</v>
      </c>
      <c r="AC46" s="235">
        <f t="shared" si="30"/>
        <v>160879817.59084049</v>
      </c>
      <c r="AD46" s="235">
        <f t="shared" si="14"/>
        <v>-67166642.270302027</v>
      </c>
      <c r="AE46" s="228"/>
      <c r="AF46" s="237">
        <f t="shared" si="18"/>
        <v>42</v>
      </c>
      <c r="AG46" s="247">
        <f t="shared" si="19"/>
        <v>0.2397210793530605</v>
      </c>
      <c r="AH46" s="247">
        <f t="shared" si="27"/>
        <v>3.5642372099586643E-2</v>
      </c>
      <c r="AI46" s="248">
        <f>IFERROR((1000*NPV($AF$2,$AH46:$AH$90)-$AI$2*($AG46+NPV($AF$2,$AG47:$AG$90)))/AG46,0)</f>
        <v>771.13289623900516</v>
      </c>
    </row>
    <row r="47" spans="2:35">
      <c r="D47" s="237">
        <f t="shared" si="15"/>
        <v>43</v>
      </c>
      <c r="E47" s="224"/>
      <c r="F47" s="224"/>
      <c r="G47" s="225">
        <v>28.75</v>
      </c>
      <c r="H47" s="224">
        <f t="shared" si="6"/>
        <v>2000000</v>
      </c>
      <c r="I47" s="226">
        <f t="shared" si="7"/>
        <v>785.41571347171521</v>
      </c>
      <c r="J47" s="241">
        <f t="shared" si="20"/>
        <v>1570831.4269434304</v>
      </c>
      <c r="K47" s="226"/>
      <c r="L47" s="249">
        <v>0.16450739711592832</v>
      </c>
      <c r="M47" s="243">
        <f t="shared" si="9"/>
        <v>164.50739711592831</v>
      </c>
      <c r="N47" s="245">
        <f t="shared" si="16"/>
        <v>1985.8899002835553</v>
      </c>
      <c r="O47" s="245">
        <f t="shared" si="21"/>
        <v>326.69357845445808</v>
      </c>
      <c r="P47" s="246">
        <f t="shared" si="28"/>
        <v>1659.1963218290973</v>
      </c>
      <c r="Q47" s="250"/>
      <c r="R47" s="235">
        <f t="shared" si="17"/>
        <v>3062770060.8348947</v>
      </c>
      <c r="S47" s="235">
        <f t="shared" si="17"/>
        <v>39717798.005671106</v>
      </c>
      <c r="T47" s="235">
        <f t="shared" si="22"/>
        <v>2606317725.7980924</v>
      </c>
      <c r="U47" s="235">
        <f t="shared" si="23"/>
        <v>33183926.436581947</v>
      </c>
      <c r="V47" s="250"/>
      <c r="W47" s="235">
        <v>0</v>
      </c>
      <c r="X47" s="235">
        <v>0</v>
      </c>
      <c r="Y47" s="235">
        <f t="shared" si="29"/>
        <v>-47701.89425258655</v>
      </c>
      <c r="Z47" s="235">
        <f t="shared" si="24"/>
        <v>-653387156.90891612</v>
      </c>
      <c r="AA47" s="235">
        <f t="shared" si="25"/>
        <v>-653434858.80316865</v>
      </c>
      <c r="AB47" s="235">
        <f t="shared" si="26"/>
        <v>456452335.03680229</v>
      </c>
      <c r="AC47" s="235">
        <f t="shared" si="30"/>
        <v>139611953.64782545</v>
      </c>
      <c r="AD47" s="235">
        <f t="shared" si="14"/>
        <v>-57370570.118540913</v>
      </c>
      <c r="AE47" s="228"/>
      <c r="AF47" s="237">
        <f t="shared" si="18"/>
        <v>43</v>
      </c>
      <c r="AG47" s="247">
        <f t="shared" si="19"/>
        <v>0.20407870725347385</v>
      </c>
      <c r="AH47" s="247">
        <f t="shared" si="27"/>
        <v>3.3572456937052499E-2</v>
      </c>
      <c r="AI47" s="248">
        <f>IFERROR((1000*NPV($AF$2,$AH47:$AH$90)-$AI$2*($AG47+NPV($AF$2,$AG48:$AG$90)))/AG47,0)</f>
        <v>785.41571347171521</v>
      </c>
    </row>
    <row r="48" spans="2:35">
      <c r="D48" s="237">
        <f t="shared" si="15"/>
        <v>44</v>
      </c>
      <c r="E48" s="224"/>
      <c r="F48" s="224"/>
      <c r="G48" s="225">
        <v>28.75</v>
      </c>
      <c r="H48" s="224">
        <f t="shared" si="6"/>
        <v>2000000</v>
      </c>
      <c r="I48" s="226">
        <f t="shared" si="7"/>
        <v>799.1302500992316</v>
      </c>
      <c r="J48" s="241">
        <f t="shared" si="20"/>
        <v>1598260.5001984632</v>
      </c>
      <c r="K48" s="226"/>
      <c r="L48" s="249">
        <v>0.18201638572293391</v>
      </c>
      <c r="M48" s="243">
        <f t="shared" si="9"/>
        <v>182.0163857229339</v>
      </c>
      <c r="N48" s="245">
        <f t="shared" si="16"/>
        <v>1659.1963218290973</v>
      </c>
      <c r="O48" s="245">
        <f t="shared" si="21"/>
        <v>302.00091770411819</v>
      </c>
      <c r="P48" s="246">
        <f t="shared" si="28"/>
        <v>1357.1954041249792</v>
      </c>
      <c r="Q48" s="250"/>
      <c r="R48" s="235">
        <f t="shared" si="17"/>
        <v>2606317725.7980924</v>
      </c>
      <c r="S48" s="235">
        <f t="shared" si="17"/>
        <v>33183926.436581947</v>
      </c>
      <c r="T48" s="235">
        <f t="shared" si="22"/>
        <v>2169151805.4638448</v>
      </c>
      <c r="U48" s="235">
        <f t="shared" si="23"/>
        <v>27143908.082499582</v>
      </c>
      <c r="V48" s="250"/>
      <c r="W48" s="235">
        <v>0</v>
      </c>
      <c r="X48" s="235">
        <v>0</v>
      </c>
      <c r="Y48" s="235">
        <f t="shared" si="29"/>
        <v>-39019.367868593152</v>
      </c>
      <c r="Z48" s="235">
        <f t="shared" si="24"/>
        <v>-604001835.40823638</v>
      </c>
      <c r="AA48" s="235">
        <f t="shared" si="25"/>
        <v>-604040854.77610493</v>
      </c>
      <c r="AB48" s="235">
        <f t="shared" si="26"/>
        <v>437165920.33424759</v>
      </c>
      <c r="AC48" s="235">
        <f t="shared" si="30"/>
        <v>118777574.35056035</v>
      </c>
      <c r="AD48" s="235">
        <f t="shared" si="14"/>
        <v>-48097360.091296986</v>
      </c>
      <c r="AE48" s="228"/>
      <c r="AF48" s="237">
        <f t="shared" si="18"/>
        <v>44</v>
      </c>
      <c r="AG48" s="247">
        <f t="shared" si="19"/>
        <v>0.17050625031642136</v>
      </c>
      <c r="AH48" s="247">
        <f t="shared" si="27"/>
        <v>3.103493142576487E-2</v>
      </c>
      <c r="AI48" s="248">
        <f>IFERROR((1000*NPV($AF$2,$AH48:$AH$90)-$AI$2*($AG48+NPV($AF$2,$AG49:$AG$90)))/AG48,0)</f>
        <v>799.1302500992316</v>
      </c>
    </row>
    <row r="49" spans="4:35">
      <c r="D49" s="237">
        <f t="shared" si="15"/>
        <v>45</v>
      </c>
      <c r="E49" s="224"/>
      <c r="F49" s="224"/>
      <c r="G49" s="225">
        <v>28.75</v>
      </c>
      <c r="H49" s="224">
        <f t="shared" si="6"/>
        <v>2000000</v>
      </c>
      <c r="I49" s="226">
        <f t="shared" si="7"/>
        <v>812.26754495764965</v>
      </c>
      <c r="J49" s="241">
        <f t="shared" si="20"/>
        <v>1624535.0899152991</v>
      </c>
      <c r="K49" s="226"/>
      <c r="L49" s="249">
        <v>0.20138890562041523</v>
      </c>
      <c r="M49" s="243">
        <f t="shared" si="9"/>
        <v>201.38890562041522</v>
      </c>
      <c r="N49" s="245">
        <f t="shared" si="16"/>
        <v>1357.1954041249792</v>
      </c>
      <c r="O49" s="245">
        <f t="shared" si="21"/>
        <v>273.32409714978672</v>
      </c>
      <c r="P49" s="246">
        <f t="shared" si="28"/>
        <v>1083.8713069751925</v>
      </c>
      <c r="Q49" s="250"/>
      <c r="R49" s="235">
        <f t="shared" si="17"/>
        <v>2169151805.4638448</v>
      </c>
      <c r="S49" s="235">
        <f t="shared" si="17"/>
        <v>27143908.082499582</v>
      </c>
      <c r="T49" s="235">
        <f t="shared" si="22"/>
        <v>1760786971.1335571</v>
      </c>
      <c r="U49" s="235">
        <f t="shared" si="23"/>
        <v>21677426.139503852</v>
      </c>
      <c r="V49" s="250"/>
      <c r="W49" s="235">
        <v>0</v>
      </c>
      <c r="X49" s="235">
        <v>0</v>
      </c>
      <c r="Y49" s="235">
        <f t="shared" si="29"/>
        <v>-31161.300075536783</v>
      </c>
      <c r="Z49" s="235">
        <f t="shared" si="24"/>
        <v>-546648194.29957342</v>
      </c>
      <c r="AA49" s="235">
        <f t="shared" si="25"/>
        <v>-546679355.59964895</v>
      </c>
      <c r="AB49" s="235">
        <f t="shared" si="26"/>
        <v>408364834.33028769</v>
      </c>
      <c r="AC49" s="235">
        <f t="shared" si="30"/>
        <v>98833307.109585494</v>
      </c>
      <c r="AD49" s="235">
        <f t="shared" si="14"/>
        <v>-39481214.159775764</v>
      </c>
      <c r="AE49" s="228"/>
      <c r="AF49" s="237">
        <f t="shared" si="18"/>
        <v>45</v>
      </c>
      <c r="AG49" s="247">
        <f t="shared" si="19"/>
        <v>0.1394713188906565</v>
      </c>
      <c r="AH49" s="247">
        <f t="shared" si="27"/>
        <v>2.8087976276825254E-2</v>
      </c>
      <c r="AI49" s="248">
        <f>IFERROR((1000*NPV($AF$2,$AH49:$AH$90)-$AI$2*($AG49+NPV($AF$2,$AG50:$AG$90)))/AG49,0)</f>
        <v>812.26754495764965</v>
      </c>
    </row>
    <row r="50" spans="4:35">
      <c r="D50" s="237">
        <f t="shared" si="15"/>
        <v>46</v>
      </c>
      <c r="E50" s="224"/>
      <c r="F50" s="224"/>
      <c r="G50" s="225">
        <v>28.75</v>
      </c>
      <c r="H50" s="224">
        <f t="shared" si="6"/>
        <v>2000000</v>
      </c>
      <c r="I50" s="226">
        <f t="shared" si="7"/>
        <v>824.82176064862131</v>
      </c>
      <c r="J50" s="241">
        <f t="shared" si="20"/>
        <v>1649643.5212972427</v>
      </c>
      <c r="K50" s="226"/>
      <c r="L50" s="249">
        <v>0.22282329772620196</v>
      </c>
      <c r="M50" s="243">
        <f t="shared" si="9"/>
        <v>222.82329772620196</v>
      </c>
      <c r="N50" s="245">
        <f t="shared" si="16"/>
        <v>1083.8713069751925</v>
      </c>
      <c r="O50" s="245">
        <f t="shared" si="21"/>
        <v>241.51177893102096</v>
      </c>
      <c r="P50" s="246">
        <f t="shared" si="28"/>
        <v>842.35952804417161</v>
      </c>
      <c r="Q50" s="250"/>
      <c r="R50" s="235">
        <f t="shared" si="17"/>
        <v>1760786971.1335571</v>
      </c>
      <c r="S50" s="235">
        <f t="shared" si="17"/>
        <v>21677426.139503852</v>
      </c>
      <c r="T50" s="235">
        <f t="shared" si="22"/>
        <v>1389592938.0410707</v>
      </c>
      <c r="U50" s="235">
        <f t="shared" si="23"/>
        <v>16847190.560883433</v>
      </c>
      <c r="V50" s="250"/>
      <c r="W50" s="235">
        <v>0</v>
      </c>
      <c r="X50" s="235">
        <v>0</v>
      </c>
      <c r="Y50" s="235">
        <f t="shared" si="29"/>
        <v>-24217.836431269934</v>
      </c>
      <c r="Z50" s="235">
        <f t="shared" si="24"/>
        <v>-483023557.86204189</v>
      </c>
      <c r="AA50" s="235">
        <f t="shared" si="25"/>
        <v>-483047775.69847316</v>
      </c>
      <c r="AB50" s="235">
        <f t="shared" si="26"/>
        <v>371194033.09248638</v>
      </c>
      <c r="AC50" s="235">
        <f t="shared" si="30"/>
        <v>80210897.877287745</v>
      </c>
      <c r="AD50" s="235">
        <f t="shared" si="14"/>
        <v>-31642844.728699028</v>
      </c>
      <c r="AE50" s="228"/>
      <c r="AF50" s="237">
        <f t="shared" si="18"/>
        <v>46</v>
      </c>
      <c r="AG50" s="247">
        <f t="shared" si="19"/>
        <v>0.11138334261383125</v>
      </c>
      <c r="AH50" s="247">
        <f t="shared" si="27"/>
        <v>2.4818803712981279E-2</v>
      </c>
      <c r="AI50" s="248">
        <f>IFERROR((1000*NPV($AF$2,$AH50:$AH$90)-$AI$2*($AG50+NPV($AF$2,$AG51:$AG$90)))/AG50,0)</f>
        <v>824.82176064862131</v>
      </c>
    </row>
    <row r="51" spans="4:35">
      <c r="D51" s="237">
        <f t="shared" si="15"/>
        <v>47</v>
      </c>
      <c r="E51" s="224"/>
      <c r="F51" s="224"/>
      <c r="G51" s="225">
        <v>28.75</v>
      </c>
      <c r="H51" s="224">
        <f t="shared" si="6"/>
        <v>2000000</v>
      </c>
      <c r="I51" s="226">
        <f t="shared" si="7"/>
        <v>836.79013955233529</v>
      </c>
      <c r="J51" s="241">
        <f t="shared" si="20"/>
        <v>1673580.2791046705</v>
      </c>
      <c r="K51" s="226"/>
      <c r="L51" s="249">
        <v>0.24653901294424871</v>
      </c>
      <c r="M51" s="243">
        <f t="shared" si="9"/>
        <v>246.5390129442487</v>
      </c>
      <c r="N51" s="245">
        <f t="shared" si="16"/>
        <v>842.35952804417161</v>
      </c>
      <c r="O51" s="245">
        <f t="shared" si="21"/>
        <v>207.67448658819325</v>
      </c>
      <c r="P51" s="246">
        <f t="shared" si="28"/>
        <v>634.68504145597831</v>
      </c>
      <c r="Q51" s="250"/>
      <c r="R51" s="235">
        <f t="shared" si="17"/>
        <v>1389592938.0410707</v>
      </c>
      <c r="S51" s="235">
        <f t="shared" si="17"/>
        <v>16847190.560883433</v>
      </c>
      <c r="T51" s="235">
        <f t="shared" si="22"/>
        <v>1062196368.8234556</v>
      </c>
      <c r="U51" s="235">
        <f t="shared" si="23"/>
        <v>12693700.829119567</v>
      </c>
      <c r="V51" s="250"/>
      <c r="W51" s="235">
        <v>0</v>
      </c>
      <c r="X51" s="235">
        <v>0</v>
      </c>
      <c r="Y51" s="235">
        <f t="shared" si="29"/>
        <v>-18247.194941859376</v>
      </c>
      <c r="Z51" s="235">
        <f t="shared" si="24"/>
        <v>-415348973.17638648</v>
      </c>
      <c r="AA51" s="235">
        <f t="shared" si="25"/>
        <v>-415367220.37132835</v>
      </c>
      <c r="AB51" s="235">
        <f t="shared" si="26"/>
        <v>327396569.21761513</v>
      </c>
      <c r="AC51" s="235">
        <f t="shared" si="30"/>
        <v>63289805.78708794</v>
      </c>
      <c r="AD51" s="235">
        <f t="shared" si="14"/>
        <v>-24680845.366625287</v>
      </c>
      <c r="AE51" s="228"/>
      <c r="AF51" s="237">
        <f t="shared" si="18"/>
        <v>47</v>
      </c>
      <c r="AG51" s="247">
        <f t="shared" si="19"/>
        <v>8.6564538900849974E-2</v>
      </c>
      <c r="AH51" s="247">
        <f t="shared" si="27"/>
        <v>2.1341535976589571E-2</v>
      </c>
      <c r="AI51" s="248">
        <f>IFERROR((1000*NPV($AF$2,$AH51:$AH$90)-$AI$2*($AG51+NPV($AF$2,$AG52:$AG$90)))/AG51,0)</f>
        <v>836.79013955233529</v>
      </c>
    </row>
    <row r="52" spans="4:35">
      <c r="D52" s="237">
        <f t="shared" si="15"/>
        <v>48</v>
      </c>
      <c r="E52" s="224"/>
      <c r="F52" s="224"/>
      <c r="G52" s="225">
        <v>28.75</v>
      </c>
      <c r="H52" s="224">
        <f t="shared" si="6"/>
        <v>2000000</v>
      </c>
      <c r="I52" s="226">
        <f t="shared" si="7"/>
        <v>848.17291269659813</v>
      </c>
      <c r="J52" s="241">
        <f t="shared" si="20"/>
        <v>1696345.8253931964</v>
      </c>
      <c r="K52" s="226"/>
      <c r="L52" s="249">
        <v>0.27277885896029941</v>
      </c>
      <c r="M52" s="243">
        <f t="shared" si="9"/>
        <v>272.77885896029943</v>
      </c>
      <c r="N52" s="245">
        <f t="shared" si="16"/>
        <v>634.68504145597831</v>
      </c>
      <c r="O52" s="245">
        <f t="shared" si="21"/>
        <v>173.12866140753212</v>
      </c>
      <c r="P52" s="246">
        <f t="shared" si="28"/>
        <v>461.55638004844616</v>
      </c>
      <c r="Q52" s="250"/>
      <c r="R52" s="235">
        <f t="shared" si="17"/>
        <v>1062196368.8234556</v>
      </c>
      <c r="S52" s="235">
        <f t="shared" si="17"/>
        <v>12693700.829119567</v>
      </c>
      <c r="T52" s="235">
        <f t="shared" si="22"/>
        <v>782959238.47877729</v>
      </c>
      <c r="U52" s="235">
        <f t="shared" si="23"/>
        <v>9231127.6009689234</v>
      </c>
      <c r="V52" s="250"/>
      <c r="W52" s="235">
        <v>0</v>
      </c>
      <c r="X52" s="235">
        <v>0</v>
      </c>
      <c r="Y52" s="235">
        <f t="shared" si="29"/>
        <v>-13269.745926392827</v>
      </c>
      <c r="Z52" s="235">
        <f t="shared" si="24"/>
        <v>-346257322.81506425</v>
      </c>
      <c r="AA52" s="235">
        <f t="shared" si="25"/>
        <v>-346270592.56099063</v>
      </c>
      <c r="AB52" s="235">
        <f t="shared" si="26"/>
        <v>279237130.34467828</v>
      </c>
      <c r="AC52" s="235">
        <f t="shared" si="30"/>
        <v>48370053.134365886</v>
      </c>
      <c r="AD52" s="235">
        <f t="shared" si="14"/>
        <v>-18663409.081946462</v>
      </c>
      <c r="AE52" s="228"/>
      <c r="AF52" s="237">
        <f t="shared" si="18"/>
        <v>48</v>
      </c>
      <c r="AG52" s="247">
        <f t="shared" si="19"/>
        <v>6.5223002924260406E-2</v>
      </c>
      <c r="AH52" s="247">
        <f t="shared" si="27"/>
        <v>1.7791456315644025E-2</v>
      </c>
      <c r="AI52" s="248">
        <f>IFERROR((1000*NPV($AF$2,$AH52:$AH$90)-$AI$2*($AG52+NPV($AF$2,$AG53:$AG$90)))/AG52,0)</f>
        <v>848.17291269659813</v>
      </c>
    </row>
    <row r="53" spans="4:35">
      <c r="D53" s="237">
        <f t="shared" si="15"/>
        <v>49</v>
      </c>
      <c r="E53" s="224"/>
      <c r="F53" s="224"/>
      <c r="G53" s="225">
        <v>28.75</v>
      </c>
      <c r="H53" s="224">
        <f t="shared" si="6"/>
        <v>2000000</v>
      </c>
      <c r="I53" s="226">
        <f t="shared" si="7"/>
        <v>858.97315520178449</v>
      </c>
      <c r="J53" s="241">
        <f t="shared" si="20"/>
        <v>1717946.3104035689</v>
      </c>
      <c r="K53" s="226"/>
      <c r="L53" s="249">
        <v>0.30181148617038267</v>
      </c>
      <c r="M53" s="243">
        <f t="shared" si="9"/>
        <v>301.81148617038269</v>
      </c>
      <c r="N53" s="245">
        <f t="shared" si="16"/>
        <v>461.55638004844616</v>
      </c>
      <c r="O53" s="245">
        <f t="shared" si="21"/>
        <v>139.30301701384352</v>
      </c>
      <c r="P53" s="246">
        <f t="shared" si="28"/>
        <v>322.25336303460267</v>
      </c>
      <c r="Q53" s="250"/>
      <c r="R53" s="235">
        <f t="shared" si="17"/>
        <v>782959238.47877729</v>
      </c>
      <c r="S53" s="235">
        <f t="shared" si="17"/>
        <v>9231127.6009689234</v>
      </c>
      <c r="T53" s="235">
        <f t="shared" si="22"/>
        <v>553613976.04043746</v>
      </c>
      <c r="U53" s="235">
        <f t="shared" si="23"/>
        <v>6445067.2606920535</v>
      </c>
      <c r="V53" s="250"/>
      <c r="W53" s="235">
        <v>0</v>
      </c>
      <c r="X53" s="235">
        <v>0</v>
      </c>
      <c r="Y53" s="235">
        <f t="shared" si="29"/>
        <v>-9264.7841872448262</v>
      </c>
      <c r="Z53" s="235">
        <f t="shared" si="24"/>
        <v>-278606034.02768701</v>
      </c>
      <c r="AA53" s="235">
        <f t="shared" si="25"/>
        <v>-278615298.81187427</v>
      </c>
      <c r="AB53" s="235">
        <f t="shared" si="26"/>
        <v>229345262.43833983</v>
      </c>
      <c r="AC53" s="235">
        <f t="shared" si="30"/>
        <v>35648566.473588578</v>
      </c>
      <c r="AD53" s="235">
        <f t="shared" si="14"/>
        <v>-13621469.899945863</v>
      </c>
      <c r="AE53" s="228"/>
      <c r="AF53" s="237">
        <f t="shared" si="18"/>
        <v>49</v>
      </c>
      <c r="AG53" s="247">
        <f t="shared" si="19"/>
        <v>4.7431546608616384E-2</v>
      </c>
      <c r="AH53" s="247">
        <f t="shared" si="27"/>
        <v>1.4315385573306288E-2</v>
      </c>
      <c r="AI53" s="248">
        <f>IFERROR((1000*NPV($AF$2,$AH53:$AH$90)-$AI$2*($AG53+NPV($AF$2,$AG54:$AG$90)))/AG53,0)</f>
        <v>858.97315520178449</v>
      </c>
    </row>
    <row r="54" spans="4:35">
      <c r="D54" s="237">
        <f t="shared" si="15"/>
        <v>50</v>
      </c>
      <c r="E54" s="224"/>
      <c r="F54" s="224"/>
      <c r="G54" s="225">
        <v>28.75</v>
      </c>
      <c r="H54" s="224">
        <f t="shared" si="6"/>
        <v>2000000</v>
      </c>
      <c r="I54" s="226">
        <f t="shared" si="7"/>
        <v>869.19657230528412</v>
      </c>
      <c r="J54" s="241">
        <f t="shared" si="20"/>
        <v>1738393.1446105682</v>
      </c>
      <c r="K54" s="226"/>
      <c r="L54" s="249">
        <v>0.33393413819372436</v>
      </c>
      <c r="M54" s="243">
        <f t="shared" si="9"/>
        <v>333.93413819372438</v>
      </c>
      <c r="N54" s="245">
        <f t="shared" si="16"/>
        <v>322.25336303460267</v>
      </c>
      <c r="O54" s="245">
        <f t="shared" si="21"/>
        <v>107.61139906498944</v>
      </c>
      <c r="P54" s="246">
        <f t="shared" si="28"/>
        <v>214.64196396961324</v>
      </c>
      <c r="Q54" s="250"/>
      <c r="R54" s="235">
        <f t="shared" si="17"/>
        <v>553613976.04043746</v>
      </c>
      <c r="S54" s="235">
        <f t="shared" si="17"/>
        <v>6445067.2606920535</v>
      </c>
      <c r="T54" s="235">
        <f t="shared" si="22"/>
        <v>373132118.71052426</v>
      </c>
      <c r="U54" s="235">
        <f t="shared" si="23"/>
        <v>4292839.2793922648</v>
      </c>
      <c r="V54" s="250"/>
      <c r="W54" s="235">
        <v>0</v>
      </c>
      <c r="X54" s="235">
        <v>0</v>
      </c>
      <c r="Y54" s="235">
        <f t="shared" si="29"/>
        <v>-6170.9564641263805</v>
      </c>
      <c r="Z54" s="235">
        <f t="shared" si="24"/>
        <v>-215222798.1299789</v>
      </c>
      <c r="AA54" s="235">
        <f t="shared" si="25"/>
        <v>-215228969.08644301</v>
      </c>
      <c r="AB54" s="235">
        <f t="shared" si="26"/>
        <v>180481857.3299132</v>
      </c>
      <c r="AC54" s="235">
        <f t="shared" si="30"/>
        <v>25202656.948550824</v>
      </c>
      <c r="AD54" s="235">
        <f t="shared" si="14"/>
        <v>-9544454.807978984</v>
      </c>
      <c r="AE54" s="228"/>
      <c r="AF54" s="237">
        <f t="shared" si="18"/>
        <v>50</v>
      </c>
      <c r="AG54" s="247">
        <f t="shared" si="19"/>
        <v>3.3116161035310093E-2</v>
      </c>
      <c r="AH54" s="247">
        <f t="shared" si="27"/>
        <v>1.1058616695610871E-2</v>
      </c>
      <c r="AI54" s="248">
        <f>IFERROR((1000*NPV($AF$2,$AH54:$AH$90)-$AI$2*($AG54+NPV($AF$2,$AG55:$AG$90)))/AG54,0)</f>
        <v>869.19657230528412</v>
      </c>
    </row>
    <row r="55" spans="4:35">
      <c r="D55" s="237">
        <f t="shared" si="15"/>
        <v>51</v>
      </c>
      <c r="E55" s="224"/>
      <c r="F55" s="224"/>
      <c r="G55" s="225">
        <v>28.75</v>
      </c>
      <c r="H55" s="224">
        <f t="shared" si="6"/>
        <v>2000000</v>
      </c>
      <c r="I55" s="226">
        <f t="shared" si="7"/>
        <v>878.85117429750017</v>
      </c>
      <c r="J55" s="241">
        <f t="shared" si="20"/>
        <v>1757702.3485950003</v>
      </c>
      <c r="K55" s="226"/>
      <c r="L55" s="249">
        <v>0.36947569513054634</v>
      </c>
      <c r="M55" s="243">
        <f t="shared" si="9"/>
        <v>369.47569513054634</v>
      </c>
      <c r="N55" s="245">
        <f t="shared" si="16"/>
        <v>214.64196396961324</v>
      </c>
      <c r="O55" s="245">
        <f t="shared" si="21"/>
        <v>79.304988841858531</v>
      </c>
      <c r="P55" s="246">
        <f t="shared" si="28"/>
        <v>135.33697512775473</v>
      </c>
      <c r="Q55" s="250"/>
      <c r="R55" s="235">
        <f t="shared" si="17"/>
        <v>373132118.71052426</v>
      </c>
      <c r="S55" s="235">
        <f t="shared" si="17"/>
        <v>4292839.2793922648</v>
      </c>
      <c r="T55" s="235">
        <f t="shared" si="22"/>
        <v>237882119.03379762</v>
      </c>
      <c r="U55" s="235">
        <f t="shared" si="23"/>
        <v>2706739.5025550947</v>
      </c>
      <c r="V55" s="250"/>
      <c r="W55" s="235">
        <v>0</v>
      </c>
      <c r="X55" s="235">
        <v>0</v>
      </c>
      <c r="Y55" s="235">
        <f t="shared" si="29"/>
        <v>-3890.9380349229482</v>
      </c>
      <c r="Z55" s="235">
        <f t="shared" si="24"/>
        <v>-158609977.68371707</v>
      </c>
      <c r="AA55" s="235">
        <f t="shared" si="25"/>
        <v>-158613868.62175199</v>
      </c>
      <c r="AB55" s="235">
        <f t="shared" si="26"/>
        <v>135249999.67672664</v>
      </c>
      <c r="AC55" s="235">
        <f t="shared" si="30"/>
        <v>16984123.10954624</v>
      </c>
      <c r="AD55" s="235">
        <f t="shared" si="14"/>
        <v>-6379745.8354791142</v>
      </c>
      <c r="AE55" s="228"/>
      <c r="AF55" s="237">
        <f t="shared" si="18"/>
        <v>51</v>
      </c>
      <c r="AG55" s="247">
        <f t="shared" si="19"/>
        <v>2.2057544339699222E-2</v>
      </c>
      <c r="AH55" s="247">
        <f t="shared" si="27"/>
        <v>8.1497265277832177E-3</v>
      </c>
      <c r="AI55" s="248">
        <f>IFERROR((1000*NPV($AF$2,$AH55:$AH$90)-$AI$2*($AG55+NPV($AF$2,$AG56:$AG$90)))/AG55,0)</f>
        <v>878.85117429750017</v>
      </c>
    </row>
    <row r="56" spans="4:35">
      <c r="D56" s="237">
        <f t="shared" si="15"/>
        <v>52</v>
      </c>
      <c r="E56" s="224"/>
      <c r="F56" s="224"/>
      <c r="G56" s="225">
        <v>28.75</v>
      </c>
      <c r="H56" s="224">
        <f t="shared" si="6"/>
        <v>2000000</v>
      </c>
      <c r="I56" s="226">
        <f t="shared" si="7"/>
        <v>887.94672880837277</v>
      </c>
      <c r="J56" s="241">
        <f t="shared" si="20"/>
        <v>1775893.4576167455</v>
      </c>
      <c r="K56" s="226"/>
      <c r="L56" s="249">
        <v>0.40880004072241904</v>
      </c>
      <c r="M56" s="243">
        <f t="shared" si="9"/>
        <v>408.80004072241906</v>
      </c>
      <c r="N56" s="245">
        <f t="shared" si="16"/>
        <v>135.33697512775473</v>
      </c>
      <c r="O56" s="245">
        <f t="shared" si="21"/>
        <v>55.325760943475153</v>
      </c>
      <c r="P56" s="246">
        <f t="shared" si="28"/>
        <v>80.011214184279567</v>
      </c>
      <c r="Q56" s="250"/>
      <c r="R56" s="235">
        <f t="shared" si="17"/>
        <v>237882119.03379762</v>
      </c>
      <c r="S56" s="235">
        <f t="shared" si="17"/>
        <v>2706739.5025550947</v>
      </c>
      <c r="T56" s="235">
        <f t="shared" si="22"/>
        <v>142091391.80583423</v>
      </c>
      <c r="U56" s="235">
        <f t="shared" si="23"/>
        <v>1600224.2836855913</v>
      </c>
      <c r="V56" s="250"/>
      <c r="W56" s="235">
        <v>0</v>
      </c>
      <c r="X56" s="235">
        <v>0</v>
      </c>
      <c r="Y56" s="235">
        <f t="shared" si="29"/>
        <v>-2300.3224077980376</v>
      </c>
      <c r="Z56" s="235">
        <f t="shared" si="24"/>
        <v>-110651521.8869503</v>
      </c>
      <c r="AA56" s="235">
        <f t="shared" si="25"/>
        <v>-110653822.2093581</v>
      </c>
      <c r="AB56" s="235">
        <f t="shared" si="26"/>
        <v>95790727.227963388</v>
      </c>
      <c r="AC56" s="235">
        <f t="shared" si="30"/>
        <v>10826498.634135872</v>
      </c>
      <c r="AD56" s="235">
        <f t="shared" si="14"/>
        <v>-4036596.347258836</v>
      </c>
      <c r="AE56" s="228"/>
      <c r="AF56" s="237">
        <f t="shared" si="18"/>
        <v>52</v>
      </c>
      <c r="AG56" s="247">
        <f t="shared" si="19"/>
        <v>1.3907817811916004E-2</v>
      </c>
      <c r="AH56" s="247">
        <f t="shared" si="27"/>
        <v>5.6855164878712484E-3</v>
      </c>
      <c r="AI56" s="248">
        <f>IFERROR((1000*NPV($AF$2,$AH56:$AH$90)-$AI$2*($AG56+NPV($AF$2,$AG57:$AG$90)))/AG56,0)</f>
        <v>887.94672880837277</v>
      </c>
    </row>
    <row r="57" spans="4:35">
      <c r="D57" s="237">
        <f t="shared" si="15"/>
        <v>53</v>
      </c>
      <c r="E57" s="224"/>
      <c r="F57" s="224"/>
      <c r="G57" s="225">
        <v>28.75</v>
      </c>
      <c r="H57" s="224">
        <f t="shared" si="6"/>
        <v>2000000</v>
      </c>
      <c r="I57" s="226">
        <f t="shared" si="7"/>
        <v>896.49367650512579</v>
      </c>
      <c r="J57" s="241">
        <f t="shared" si="20"/>
        <v>1792987.3530102514</v>
      </c>
      <c r="K57" s="226"/>
      <c r="L57" s="249">
        <v>0.45230978788903586</v>
      </c>
      <c r="M57" s="243">
        <f t="shared" si="9"/>
        <v>452.30978788903587</v>
      </c>
      <c r="N57" s="245">
        <f t="shared" si="16"/>
        <v>80.011214184279567</v>
      </c>
      <c r="O57" s="245">
        <f t="shared" si="21"/>
        <v>36.189855316435704</v>
      </c>
      <c r="P57" s="246">
        <f t="shared" si="28"/>
        <v>43.821358867843863</v>
      </c>
      <c r="Q57" s="250"/>
      <c r="R57" s="235">
        <f t="shared" si="17"/>
        <v>142091391.80583423</v>
      </c>
      <c r="S57" s="235">
        <f t="shared" si="17"/>
        <v>1600224.2836855913</v>
      </c>
      <c r="T57" s="235">
        <f t="shared" si="22"/>
        <v>78571142.241767675</v>
      </c>
      <c r="U57" s="235">
        <f t="shared" si="23"/>
        <v>876427.17735687725</v>
      </c>
      <c r="V57" s="250"/>
      <c r="W57" s="235">
        <v>0</v>
      </c>
      <c r="X57" s="235">
        <v>0</v>
      </c>
      <c r="Y57" s="235">
        <f t="shared" si="29"/>
        <v>-1259.8640674505111</v>
      </c>
      <c r="Z57" s="235">
        <f t="shared" si="24"/>
        <v>-72379710.632871404</v>
      </c>
      <c r="AA57" s="235">
        <f t="shared" si="25"/>
        <v>-72380970.496938854</v>
      </c>
      <c r="AB57" s="235">
        <f t="shared" si="26"/>
        <v>63520249.564066559</v>
      </c>
      <c r="AC57" s="235">
        <f t="shared" si="30"/>
        <v>6466122.7240283918</v>
      </c>
      <c r="AD57" s="235">
        <f t="shared" si="14"/>
        <v>-2394598.2088439036</v>
      </c>
      <c r="AE57" s="228"/>
      <c r="AF57" s="237">
        <f t="shared" si="18"/>
        <v>53</v>
      </c>
      <c r="AG57" s="247">
        <f t="shared" si="19"/>
        <v>8.2223013240447559E-3</v>
      </c>
      <c r="AH57" s="247">
        <f t="shared" si="27"/>
        <v>3.7190273678384227E-3</v>
      </c>
      <c r="AI57" s="248">
        <f>IFERROR((1000*NPV($AF$2,$AH57:$AH$90)-$AI$2*($AG57+NPV($AF$2,$AG58:$AG$90)))/AG57,0)</f>
        <v>896.49367650512579</v>
      </c>
    </row>
    <row r="58" spans="4:35">
      <c r="D58" s="237">
        <f t="shared" si="15"/>
        <v>54</v>
      </c>
      <c r="E58" s="224"/>
      <c r="F58" s="224"/>
      <c r="G58" s="225">
        <v>28.75</v>
      </c>
      <c r="H58" s="224">
        <f t="shared" si="6"/>
        <v>2000000</v>
      </c>
      <c r="I58" s="226">
        <f t="shared" si="7"/>
        <v>904.50055985312906</v>
      </c>
      <c r="J58" s="241">
        <f t="shared" si="20"/>
        <v>1809001.1197062579</v>
      </c>
      <c r="K58" s="226"/>
      <c r="L58" s="249">
        <v>0.5004504007844266</v>
      </c>
      <c r="M58" s="243">
        <f t="shared" si="9"/>
        <v>500.45040078442662</v>
      </c>
      <c r="N58" s="245">
        <f t="shared" si="16"/>
        <v>43.821358867843863</v>
      </c>
      <c r="O58" s="245">
        <f t="shared" si="21"/>
        <v>21.930416608330649</v>
      </c>
      <c r="P58" s="246">
        <f t="shared" si="28"/>
        <v>21.890942259513213</v>
      </c>
      <c r="Q58" s="250"/>
      <c r="R58" s="235">
        <f t="shared" si="17"/>
        <v>78571142.241767675</v>
      </c>
      <c r="S58" s="235">
        <f t="shared" si="17"/>
        <v>876427.17735687725</v>
      </c>
      <c r="T58" s="235">
        <f t="shared" si="22"/>
        <v>39600739.058884442</v>
      </c>
      <c r="U58" s="235">
        <f t="shared" si="23"/>
        <v>437818.84519026428</v>
      </c>
      <c r="V58" s="250"/>
      <c r="W58" s="235">
        <v>0</v>
      </c>
      <c r="X58" s="235">
        <v>0</v>
      </c>
      <c r="Y58" s="235">
        <f t="shared" si="29"/>
        <v>-629.36458996100487</v>
      </c>
      <c r="Z58" s="235">
        <f t="shared" si="24"/>
        <v>-43860833.216661297</v>
      </c>
      <c r="AA58" s="235">
        <f t="shared" si="25"/>
        <v>-43861462.581251256</v>
      </c>
      <c r="AB58" s="235">
        <f t="shared" si="26"/>
        <v>38970403.182883233</v>
      </c>
      <c r="AC58" s="235">
        <f t="shared" si="30"/>
        <v>3575140.6238606051</v>
      </c>
      <c r="AD58" s="235">
        <f t="shared" si="14"/>
        <v>-1315918.7745074183</v>
      </c>
      <c r="AE58" s="228"/>
      <c r="AF58" s="237">
        <f t="shared" si="18"/>
        <v>54</v>
      </c>
      <c r="AG58" s="247">
        <f t="shared" si="19"/>
        <v>4.5032739562063332E-3</v>
      </c>
      <c r="AH58" s="247">
        <f t="shared" si="27"/>
        <v>2.2536652562255301E-3</v>
      </c>
      <c r="AI58" s="248">
        <f>IFERROR((1000*NPV($AF$2,$AH58:$AH$90)-$AI$2*($AG58+NPV($AF$2,$AG59:$AG$90)))/AG58,0)</f>
        <v>904.50055985312906</v>
      </c>
    </row>
    <row r="59" spans="4:35">
      <c r="D59" s="237">
        <f t="shared" si="15"/>
        <v>55</v>
      </c>
      <c r="E59" s="224"/>
      <c r="F59" s="224"/>
      <c r="G59" s="225">
        <v>28.75</v>
      </c>
      <c r="H59" s="224">
        <f t="shared" si="6"/>
        <v>2000000</v>
      </c>
      <c r="I59" s="226">
        <f t="shared" si="7"/>
        <v>911.96679965783062</v>
      </c>
      <c r="J59" s="241">
        <f t="shared" si="20"/>
        <v>1823933.5993156612</v>
      </c>
      <c r="K59" s="226"/>
      <c r="L59" s="249">
        <v>0.55371475557530014</v>
      </c>
      <c r="M59" s="243">
        <f t="shared" si="9"/>
        <v>553.71475557530016</v>
      </c>
      <c r="N59" s="245">
        <f t="shared" si="16"/>
        <v>21.890942259513213</v>
      </c>
      <c r="O59" s="245">
        <f t="shared" si="21"/>
        <v>12.121337742539369</v>
      </c>
      <c r="P59" s="246">
        <f t="shared" si="28"/>
        <v>9.7696045169738444</v>
      </c>
      <c r="Q59" s="250"/>
      <c r="R59" s="235">
        <f t="shared" si="17"/>
        <v>39600739.058884442</v>
      </c>
      <c r="S59" s="235">
        <f t="shared" si="17"/>
        <v>437818.84519026428</v>
      </c>
      <c r="T59" s="235">
        <f t="shared" si="22"/>
        <v>17819109.930534646</v>
      </c>
      <c r="U59" s="235">
        <f t="shared" si="23"/>
        <v>195392.09033947688</v>
      </c>
      <c r="V59" s="250"/>
      <c r="W59" s="235">
        <v>0</v>
      </c>
      <c r="X59" s="235">
        <v>0</v>
      </c>
      <c r="Y59" s="235">
        <f t="shared" si="29"/>
        <v>-280.87612986299803</v>
      </c>
      <c r="Z59" s="235">
        <f t="shared" si="24"/>
        <v>-24242675.485078737</v>
      </c>
      <c r="AA59" s="235">
        <f t="shared" si="25"/>
        <v>-24242956.361208599</v>
      </c>
      <c r="AB59" s="235">
        <f t="shared" si="26"/>
        <v>21781629.128349796</v>
      </c>
      <c r="AC59" s="235">
        <f t="shared" si="30"/>
        <v>1801735.1056833616</v>
      </c>
      <c r="AD59" s="235">
        <f t="shared" si="14"/>
        <v>-659592.12717544148</v>
      </c>
      <c r="AE59" s="228"/>
      <c r="AF59" s="237">
        <f t="shared" si="18"/>
        <v>55</v>
      </c>
      <c r="AG59" s="247">
        <f t="shared" si="19"/>
        <v>2.2496086999808031E-3</v>
      </c>
      <c r="AH59" s="247">
        <f t="shared" si="27"/>
        <v>1.2456415314499392E-3</v>
      </c>
      <c r="AI59" s="248">
        <f>IFERROR((1000*NPV($AF$2,$AH59:$AH$90)-$AI$2*($AG59+NPV($AF$2,$AG60:$AG$90)))/AG59,0)</f>
        <v>911.96679965783062</v>
      </c>
    </row>
    <row r="60" spans="4:35">
      <c r="D60" s="237">
        <f t="shared" si="15"/>
        <v>56</v>
      </c>
      <c r="E60" s="224"/>
      <c r="F60" s="224"/>
      <c r="G60" s="225">
        <v>28.75</v>
      </c>
      <c r="H60" s="224">
        <f t="shared" si="6"/>
        <v>2000000</v>
      </c>
      <c r="I60" s="226">
        <f t="shared" si="7"/>
        <v>918.85893382295001</v>
      </c>
      <c r="J60" s="241">
        <f t="shared" si="20"/>
        <v>1837717.8676459</v>
      </c>
      <c r="K60" s="226"/>
      <c r="L60" s="249">
        <v>0.61264818663595177</v>
      </c>
      <c r="M60" s="243">
        <f t="shared" si="9"/>
        <v>612.64818663595179</v>
      </c>
      <c r="N60" s="245">
        <f t="shared" si="16"/>
        <v>9.7696045169738444</v>
      </c>
      <c r="O60" s="245">
        <f t="shared" si="21"/>
        <v>5.9853304914744294</v>
      </c>
      <c r="P60" s="246">
        <f t="shared" si="28"/>
        <v>3.7842740254994149</v>
      </c>
      <c r="Q60" s="250"/>
      <c r="R60" s="235">
        <f t="shared" si="17"/>
        <v>17819109.930534646</v>
      </c>
      <c r="S60" s="235">
        <f t="shared" si="17"/>
        <v>195392.09033947688</v>
      </c>
      <c r="T60" s="235">
        <f t="shared" si="22"/>
        <v>6954427.9927285509</v>
      </c>
      <c r="U60" s="235">
        <f t="shared" si="23"/>
        <v>75685.480509988294</v>
      </c>
      <c r="V60" s="250"/>
      <c r="W60" s="235">
        <v>0</v>
      </c>
      <c r="X60" s="235">
        <v>0</v>
      </c>
      <c r="Y60" s="235">
        <f t="shared" si="29"/>
        <v>-108.79787823310818</v>
      </c>
      <c r="Z60" s="235">
        <f t="shared" si="24"/>
        <v>-11970660.982948858</v>
      </c>
      <c r="AA60" s="235">
        <f t="shared" si="25"/>
        <v>-11970769.780827092</v>
      </c>
      <c r="AB60" s="235">
        <f t="shared" si="26"/>
        <v>10864681.937806096</v>
      </c>
      <c r="AC60" s="235">
        <f t="shared" si="30"/>
        <v>810652.59093933553</v>
      </c>
      <c r="AD60" s="235">
        <f t="shared" si="14"/>
        <v>-295435.25208166055</v>
      </c>
      <c r="AE60" s="228"/>
      <c r="AF60" s="237">
        <f t="shared" si="18"/>
        <v>56</v>
      </c>
      <c r="AG60" s="247">
        <f t="shared" si="19"/>
        <v>1.0039671685308639E-3</v>
      </c>
      <c r="AH60" s="247">
        <f t="shared" si="27"/>
        <v>6.1507866524246476E-4</v>
      </c>
      <c r="AI60" s="248">
        <f>IFERROR((1000*NPV($AF$2,$AH60:$AH$90)-$AI$2*($AG60+NPV($AF$2,$AG61:$AG$90)))/AG60,0)</f>
        <v>918.85893382295001</v>
      </c>
    </row>
    <row r="61" spans="4:35">
      <c r="D61" s="237">
        <f t="shared" si="15"/>
        <v>57</v>
      </c>
      <c r="E61" s="224"/>
      <c r="F61" s="224"/>
      <c r="G61" s="225">
        <v>28.75</v>
      </c>
      <c r="H61" s="224">
        <f t="shared" si="6"/>
        <v>2000000</v>
      </c>
      <c r="I61" s="226">
        <f t="shared" si="7"/>
        <v>925.01844571801621</v>
      </c>
      <c r="J61" s="241">
        <f t="shared" si="20"/>
        <v>1850036.8914360325</v>
      </c>
      <c r="K61" s="226"/>
      <c r="L61" s="249">
        <v>0.67785406982400254</v>
      </c>
      <c r="M61" s="243">
        <f t="shared" si="9"/>
        <v>677.85406982400252</v>
      </c>
      <c r="N61" s="245">
        <f t="shared" si="16"/>
        <v>3.7842740254994149</v>
      </c>
      <c r="O61" s="245">
        <f t="shared" si="21"/>
        <v>2.5651855495140392</v>
      </c>
      <c r="P61" s="246">
        <f t="shared" si="28"/>
        <v>1.2190884759853757</v>
      </c>
      <c r="Q61" s="250"/>
      <c r="R61" s="235">
        <f t="shared" ref="R61:S80" si="31">T60</f>
        <v>6954427.9927285509</v>
      </c>
      <c r="S61" s="235">
        <f t="shared" si="31"/>
        <v>75685.480509988294</v>
      </c>
      <c r="T61" s="235">
        <f t="shared" si="22"/>
        <v>2255358.6544974749</v>
      </c>
      <c r="U61" s="235">
        <f t="shared" si="23"/>
        <v>24381.769519707515</v>
      </c>
      <c r="V61" s="250"/>
      <c r="W61" s="235">
        <v>0</v>
      </c>
      <c r="X61" s="235">
        <v>0</v>
      </c>
      <c r="Y61" s="235">
        <f t="shared" si="29"/>
        <v>-35.04879368457955</v>
      </c>
      <c r="Z61" s="235">
        <f t="shared" si="24"/>
        <v>-5130371.0990280788</v>
      </c>
      <c r="AA61" s="235">
        <f t="shared" si="25"/>
        <v>-5130406.1478217635</v>
      </c>
      <c r="AB61" s="235">
        <f t="shared" si="26"/>
        <v>4699069.3382310756</v>
      </c>
      <c r="AC61" s="235">
        <f t="shared" si="30"/>
        <v>316355.10629573424</v>
      </c>
      <c r="AD61" s="235">
        <f t="shared" si="14"/>
        <v>-114981.70329495374</v>
      </c>
      <c r="AE61" s="228"/>
      <c r="AF61" s="237">
        <f t="shared" si="18"/>
        <v>57</v>
      </c>
      <c r="AG61" s="247">
        <f t="shared" si="19"/>
        <v>3.8888850328839912E-4</v>
      </c>
      <c r="AH61" s="247">
        <f t="shared" si="27"/>
        <v>2.6360965466180636E-4</v>
      </c>
      <c r="AI61" s="248">
        <f>IFERROR((1000*NPV($AF$2,$AH61:$AH$90)-$AI$2*($AG61+NPV($AF$2,$AG62:$AG$90)))/AG61,0)</f>
        <v>925.01844571801621</v>
      </c>
    </row>
    <row r="62" spans="4:35">
      <c r="D62" s="237">
        <f t="shared" si="15"/>
        <v>58</v>
      </c>
      <c r="E62" s="224"/>
      <c r="F62" s="224"/>
      <c r="G62" s="225">
        <v>28.75</v>
      </c>
      <c r="H62" s="224">
        <f t="shared" si="6"/>
        <v>2000000</v>
      </c>
      <c r="I62" s="226">
        <f t="shared" si="7"/>
        <v>929.72641735146397</v>
      </c>
      <c r="J62" s="241">
        <f t="shared" si="20"/>
        <v>1859452.8347029279</v>
      </c>
      <c r="K62" s="226"/>
      <c r="L62" s="249">
        <v>0.73154505818666882</v>
      </c>
      <c r="M62" s="243">
        <f t="shared" si="9"/>
        <v>731.54505818666883</v>
      </c>
      <c r="N62" s="245">
        <f t="shared" si="16"/>
        <v>1.2190884759853757</v>
      </c>
      <c r="O62" s="245">
        <f t="shared" si="21"/>
        <v>0.89181815009941912</v>
      </c>
      <c r="P62" s="246">
        <f t="shared" si="28"/>
        <v>0.32727032588595661</v>
      </c>
      <c r="Q62" s="250"/>
      <c r="R62" s="235">
        <f t="shared" si="31"/>
        <v>2255358.6544974749</v>
      </c>
      <c r="S62" s="235">
        <f t="shared" si="31"/>
        <v>24381.769519707515</v>
      </c>
      <c r="T62" s="235">
        <f t="shared" si="22"/>
        <v>608543.735182793</v>
      </c>
      <c r="U62" s="235">
        <f t="shared" si="23"/>
        <v>6545.4065177191324</v>
      </c>
      <c r="V62" s="250"/>
      <c r="W62" s="235">
        <v>0</v>
      </c>
      <c r="X62" s="235">
        <v>0</v>
      </c>
      <c r="Y62" s="235">
        <f t="shared" si="29"/>
        <v>-9.4090218692212524</v>
      </c>
      <c r="Z62" s="235">
        <f t="shared" si="24"/>
        <v>-1783636.3001988383</v>
      </c>
      <c r="AA62" s="235">
        <f t="shared" si="25"/>
        <v>-1783645.7092207076</v>
      </c>
      <c r="AB62" s="235">
        <f t="shared" si="26"/>
        <v>1646814.919314682</v>
      </c>
      <c r="AC62" s="235">
        <f t="shared" si="30"/>
        <v>102588.31908077322</v>
      </c>
      <c r="AD62" s="235">
        <f t="shared" si="14"/>
        <v>-34242.470825252414</v>
      </c>
      <c r="AE62" s="228"/>
      <c r="AF62" s="237">
        <f t="shared" si="18"/>
        <v>58</v>
      </c>
      <c r="AG62" s="247">
        <f t="shared" si="19"/>
        <v>1.2527884862659276E-4</v>
      </c>
      <c r="AH62" s="247">
        <f t="shared" si="27"/>
        <v>9.1647122608099683E-5</v>
      </c>
      <c r="AI62" s="248">
        <f>IFERROR((1000*NPV($AF$2,$AH62:$AH$90)-$AI$2*($AG62+NPV($AF$2,$AG63:$AG$90)))/AG62,0)</f>
        <v>929.72641735146397</v>
      </c>
    </row>
    <row r="63" spans="4:35">
      <c r="D63" s="237">
        <f t="shared" si="15"/>
        <v>59</v>
      </c>
      <c r="E63" s="224"/>
      <c r="F63" s="224"/>
      <c r="G63" s="225">
        <v>28.75</v>
      </c>
      <c r="H63" s="224">
        <f t="shared" si="6"/>
        <v>2000000</v>
      </c>
      <c r="I63" s="226">
        <f t="shared" si="7"/>
        <v>933.9104803566496</v>
      </c>
      <c r="J63" s="241">
        <f t="shared" si="20"/>
        <v>1867820.9607132992</v>
      </c>
      <c r="K63" s="226"/>
      <c r="L63" s="249">
        <v>0.78523604654933499</v>
      </c>
      <c r="M63" s="243">
        <f t="shared" si="9"/>
        <v>785.23604654933501</v>
      </c>
      <c r="N63" s="245">
        <f t="shared" si="16"/>
        <v>0.32727032588595661</v>
      </c>
      <c r="O63" s="245">
        <f t="shared" si="21"/>
        <v>0.25698445685160104</v>
      </c>
      <c r="P63" s="246">
        <f t="shared" si="28"/>
        <v>7.0285869034355575E-2</v>
      </c>
      <c r="Q63" s="250"/>
      <c r="R63" s="235">
        <f t="shared" si="31"/>
        <v>608543.735182793</v>
      </c>
      <c r="S63" s="235">
        <f t="shared" si="31"/>
        <v>6545.4065177191324</v>
      </c>
      <c r="T63" s="235">
        <f t="shared" si="22"/>
        <v>131281.41942431915</v>
      </c>
      <c r="U63" s="235">
        <f t="shared" si="23"/>
        <v>1405.7173806871115</v>
      </c>
      <c r="V63" s="250"/>
      <c r="W63" s="235">
        <v>0</v>
      </c>
      <c r="X63" s="235">
        <v>0</v>
      </c>
      <c r="Y63" s="235">
        <f t="shared" si="29"/>
        <v>-2.0207187347377227</v>
      </c>
      <c r="Z63" s="235">
        <f t="shared" si="24"/>
        <v>-513968.9137032021</v>
      </c>
      <c r="AA63" s="235">
        <f t="shared" si="25"/>
        <v>-513970.93442193681</v>
      </c>
      <c r="AB63" s="235">
        <f t="shared" si="26"/>
        <v>477262.31575847382</v>
      </c>
      <c r="AC63" s="235">
        <f t="shared" si="30"/>
        <v>27679.011376523045</v>
      </c>
      <c r="AD63" s="235">
        <f t="shared" si="14"/>
        <v>-9029.6072869399395</v>
      </c>
      <c r="AE63" s="228"/>
      <c r="AF63" s="237">
        <f t="shared" si="18"/>
        <v>59</v>
      </c>
      <c r="AG63" s="247">
        <f t="shared" si="19"/>
        <v>3.3631726018493077E-5</v>
      </c>
      <c r="AH63" s="247">
        <f t="shared" si="27"/>
        <v>2.6408843577391909E-5</v>
      </c>
      <c r="AI63" s="248">
        <f>IFERROR((1000*NPV($AF$2,$AH63:$AH$90)-$AI$2*($AG63+NPV($AF$2,$AG64:$AG$90)))/AG63,0)</f>
        <v>933.9104803566496</v>
      </c>
    </row>
    <row r="64" spans="4:35">
      <c r="D64" s="237">
        <f t="shared" si="15"/>
        <v>60</v>
      </c>
      <c r="E64" s="224"/>
      <c r="F64" s="224"/>
      <c r="G64" s="225">
        <v>28.75</v>
      </c>
      <c r="H64" s="224">
        <f t="shared" si="6"/>
        <v>2000000</v>
      </c>
      <c r="I64" s="226">
        <f t="shared" si="7"/>
        <v>937.64953377983898</v>
      </c>
      <c r="J64" s="241">
        <f t="shared" si="20"/>
        <v>1875299.0675596779</v>
      </c>
      <c r="K64" s="226"/>
      <c r="L64" s="249">
        <v>0.83892703491200127</v>
      </c>
      <c r="M64" s="243">
        <f t="shared" si="9"/>
        <v>838.92703491200132</v>
      </c>
      <c r="N64" s="245">
        <f t="shared" si="16"/>
        <v>7.0285869034355575E-2</v>
      </c>
      <c r="O64" s="245">
        <f t="shared" si="21"/>
        <v>5.8964715705205173E-2</v>
      </c>
      <c r="P64" s="246">
        <f t="shared" si="28"/>
        <v>1.1321153329150402E-2</v>
      </c>
      <c r="Q64" s="250"/>
      <c r="R64" s="235">
        <f t="shared" si="31"/>
        <v>131281.41942431915</v>
      </c>
      <c r="S64" s="235">
        <f t="shared" si="31"/>
        <v>1405.7173806871115</v>
      </c>
      <c r="T64" s="235">
        <f t="shared" si="22"/>
        <v>21230.548281855892</v>
      </c>
      <c r="U64" s="235">
        <f t="shared" si="23"/>
        <v>226.42306658300805</v>
      </c>
      <c r="V64" s="250"/>
      <c r="W64" s="235">
        <v>0</v>
      </c>
      <c r="X64" s="235">
        <v>0</v>
      </c>
      <c r="Y64" s="235">
        <f t="shared" si="29"/>
        <v>-0.32548315821307405</v>
      </c>
      <c r="Z64" s="235">
        <f t="shared" si="24"/>
        <v>-117929.43141041034</v>
      </c>
      <c r="AA64" s="235">
        <f t="shared" si="25"/>
        <v>-117929.75689356856</v>
      </c>
      <c r="AB64" s="235">
        <f t="shared" si="26"/>
        <v>110050.87114246325</v>
      </c>
      <c r="AC64" s="235">
        <f t="shared" si="30"/>
        <v>5970.9211562252804</v>
      </c>
      <c r="AD64" s="235">
        <f t="shared" si="14"/>
        <v>-1907.9645948800262</v>
      </c>
      <c r="AE64" s="228"/>
      <c r="AF64" s="237">
        <f t="shared" si="18"/>
        <v>60</v>
      </c>
      <c r="AG64" s="247">
        <f t="shared" si="19"/>
        <v>7.222882441101168E-6</v>
      </c>
      <c r="AH64" s="247">
        <f t="shared" si="27"/>
        <v>6.0594713498309608E-6</v>
      </c>
      <c r="AI64" s="248">
        <f>IFERROR((1000*NPV($AF$2,$AH64:$AH$90)-$AI$2*($AG64+NPV($AF$2,$AG65:$AG$90)))/AG64,0)</f>
        <v>937.64953377983898</v>
      </c>
    </row>
    <row r="65" spans="4:35">
      <c r="D65" s="237">
        <f t="shared" si="15"/>
        <v>61</v>
      </c>
      <c r="E65" s="224"/>
      <c r="F65" s="224"/>
      <c r="G65" s="225">
        <v>28.75</v>
      </c>
      <c r="H65" s="224">
        <f t="shared" si="6"/>
        <v>2000000</v>
      </c>
      <c r="I65" s="226">
        <f t="shared" si="7"/>
        <v>941.00799560233179</v>
      </c>
      <c r="J65" s="241">
        <f t="shared" si="20"/>
        <v>1882015.9912046634</v>
      </c>
      <c r="K65" s="226"/>
      <c r="L65" s="249">
        <v>0.89261802327466755</v>
      </c>
      <c r="M65" s="243">
        <f t="shared" si="9"/>
        <v>892.61802327466751</v>
      </c>
      <c r="N65" s="245">
        <f t="shared" si="16"/>
        <v>1.1321153329150402E-2</v>
      </c>
      <c r="O65" s="245">
        <f t="shared" si="21"/>
        <v>1.0105465505855653E-2</v>
      </c>
      <c r="P65" s="246">
        <f t="shared" si="28"/>
        <v>1.2156878232947484E-3</v>
      </c>
      <c r="Q65" s="250"/>
      <c r="R65" s="235">
        <f t="shared" si="31"/>
        <v>21230.548281855892</v>
      </c>
      <c r="S65" s="235">
        <f t="shared" si="31"/>
        <v>226.42306658300805</v>
      </c>
      <c r="T65" s="235">
        <f t="shared" si="22"/>
        <v>2287.9439237535057</v>
      </c>
      <c r="U65" s="235">
        <f t="shared" si="23"/>
        <v>24.313756465894969</v>
      </c>
      <c r="V65" s="250"/>
      <c r="W65" s="235">
        <v>0</v>
      </c>
      <c r="X65" s="235">
        <v>0</v>
      </c>
      <c r="Y65" s="235">
        <f t="shared" si="29"/>
        <v>-3.4951024919724016E-2</v>
      </c>
      <c r="Z65" s="235">
        <f t="shared" si="24"/>
        <v>-20210.931011711305</v>
      </c>
      <c r="AA65" s="235">
        <f t="shared" si="25"/>
        <v>-20210.965962736223</v>
      </c>
      <c r="AB65" s="235">
        <f t="shared" si="26"/>
        <v>18942.604358102388</v>
      </c>
      <c r="AC65" s="235">
        <f t="shared" si="30"/>
        <v>965.56371067975044</v>
      </c>
      <c r="AD65" s="235">
        <f t="shared" si="14"/>
        <v>-302.79789395408523</v>
      </c>
      <c r="AE65" s="228"/>
      <c r="AF65" s="237">
        <f t="shared" si="18"/>
        <v>61</v>
      </c>
      <c r="AG65" s="247">
        <f t="shared" si="19"/>
        <v>1.1634110912702072E-6</v>
      </c>
      <c r="AH65" s="247">
        <f t="shared" si="27"/>
        <v>1.0384817085454361E-6</v>
      </c>
      <c r="AI65" s="248">
        <f>IFERROR((1000*NPV($AF$2,$AH65:$AH$90)-$AI$2*($AG65+NPV($AF$2,$AG66:$AG$90)))/AG65,0)</f>
        <v>941.00799560233179</v>
      </c>
    </row>
    <row r="66" spans="4:35">
      <c r="D66" s="237">
        <f t="shared" si="15"/>
        <v>62</v>
      </c>
      <c r="E66" s="224"/>
      <c r="F66" s="224"/>
      <c r="G66" s="225">
        <v>28.75</v>
      </c>
      <c r="H66" s="224">
        <f t="shared" si="6"/>
        <v>2000000</v>
      </c>
      <c r="I66" s="226">
        <f t="shared" si="7"/>
        <v>944.0388699046315</v>
      </c>
      <c r="J66" s="241">
        <f t="shared" si="20"/>
        <v>1888077.739809263</v>
      </c>
      <c r="K66" s="226"/>
      <c r="L66" s="249">
        <v>0.94630901163733372</v>
      </c>
      <c r="M66" s="243">
        <f t="shared" si="9"/>
        <v>946.3090116373337</v>
      </c>
      <c r="N66" s="245">
        <f t="shared" si="16"/>
        <v>1.2156878232947484E-3</v>
      </c>
      <c r="O66" s="245">
        <f t="shared" si="21"/>
        <v>1.1504163425215949E-3</v>
      </c>
      <c r="P66" s="246">
        <f t="shared" si="28"/>
        <v>6.5271480773153485E-5</v>
      </c>
      <c r="Q66" s="250"/>
      <c r="R66" s="235">
        <f t="shared" si="31"/>
        <v>2287.9439237535057</v>
      </c>
      <c r="S66" s="235">
        <f t="shared" si="31"/>
        <v>24.313756465894969</v>
      </c>
      <c r="T66" s="235">
        <f t="shared" si="22"/>
        <v>123.2376298921794</v>
      </c>
      <c r="U66" s="235">
        <f t="shared" si="23"/>
        <v>1.3054296154630698</v>
      </c>
      <c r="V66" s="250"/>
      <c r="W66" s="235">
        <v>0</v>
      </c>
      <c r="X66" s="235">
        <v>0</v>
      </c>
      <c r="Y66" s="235">
        <f t="shared" si="29"/>
        <v>-1.8765550722281627E-3</v>
      </c>
      <c r="Z66" s="235">
        <f t="shared" si="24"/>
        <v>-2300.8326850431899</v>
      </c>
      <c r="AA66" s="235">
        <f t="shared" si="25"/>
        <v>-2300.8345615982621</v>
      </c>
      <c r="AB66" s="235">
        <f t="shared" si="26"/>
        <v>2164.7062938613262</v>
      </c>
      <c r="AC66" s="235">
        <f t="shared" si="30"/>
        <v>104.05159560987303</v>
      </c>
      <c r="AD66" s="235">
        <f t="shared" si="14"/>
        <v>-32.076672127062835</v>
      </c>
      <c r="AE66" s="228"/>
      <c r="AF66" s="237">
        <f t="shared" si="18"/>
        <v>62</v>
      </c>
      <c r="AG66" s="247">
        <f t="shared" si="19"/>
        <v>1.2492938272477108E-7</v>
      </c>
      <c r="AH66" s="247">
        <f t="shared" si="27"/>
        <v>1.1822180069074031E-7</v>
      </c>
      <c r="AI66" s="248">
        <f>IFERROR((1000*NPV($AF$2,$AH66:$AH$90)-$AI$2*($AG66+NPV($AF$2,$AG67:$AG$90)))/AG66,0)</f>
        <v>944.0388699046315</v>
      </c>
    </row>
    <row r="67" spans="4:35">
      <c r="D67" s="237">
        <f t="shared" si="15"/>
        <v>63</v>
      </c>
      <c r="E67" s="224"/>
      <c r="F67" s="224"/>
      <c r="G67" s="225">
        <v>28.75</v>
      </c>
      <c r="H67" s="224">
        <f t="shared" si="6"/>
        <v>2000000</v>
      </c>
      <c r="I67" s="226">
        <f t="shared" si="7"/>
        <v>946.78608864985495</v>
      </c>
      <c r="J67" s="241">
        <f t="shared" si="20"/>
        <v>1893572.1772997098</v>
      </c>
      <c r="K67" s="226"/>
      <c r="L67" s="249">
        <v>1</v>
      </c>
      <c r="M67" s="243">
        <f t="shared" si="9"/>
        <v>1000</v>
      </c>
      <c r="N67" s="245">
        <f t="shared" si="16"/>
        <v>6.5271480773153485E-5</v>
      </c>
      <c r="O67" s="245">
        <f t="shared" si="21"/>
        <v>6.5271480773153472E-5</v>
      </c>
      <c r="P67" s="246">
        <f t="shared" si="28"/>
        <v>0</v>
      </c>
      <c r="Q67" s="250"/>
      <c r="R67" s="235">
        <f t="shared" si="31"/>
        <v>123.2376298921794</v>
      </c>
      <c r="S67" s="235">
        <f t="shared" si="31"/>
        <v>1.3054296154630698</v>
      </c>
      <c r="T67" s="235">
        <f t="shared" si="22"/>
        <v>0</v>
      </c>
      <c r="U67" s="235">
        <f t="shared" si="23"/>
        <v>0</v>
      </c>
      <c r="V67" s="250"/>
      <c r="W67" s="235">
        <v>0</v>
      </c>
      <c r="X67" s="235">
        <v>0</v>
      </c>
      <c r="Y67" s="235">
        <f t="shared" si="29"/>
        <v>0</v>
      </c>
      <c r="Z67" s="235">
        <f t="shared" si="24"/>
        <v>-130.54296154630694</v>
      </c>
      <c r="AA67" s="235">
        <f t="shared" si="25"/>
        <v>-130.54296154630694</v>
      </c>
      <c r="AB67" s="235">
        <f t="shared" si="26"/>
        <v>123.2376298921794</v>
      </c>
      <c r="AC67" s="235">
        <f t="shared" si="30"/>
        <v>5.6044376778439107</v>
      </c>
      <c r="AD67" s="235">
        <f t="shared" si="14"/>
        <v>-1.7008939762836315</v>
      </c>
      <c r="AE67" s="228"/>
      <c r="AF67" s="237">
        <f t="shared" si="18"/>
        <v>63</v>
      </c>
      <c r="AG67" s="247">
        <f t="shared" si="19"/>
        <v>6.7075820340307683E-9</v>
      </c>
      <c r="AH67" s="247">
        <f t="shared" si="27"/>
        <v>6.7075820340307683E-9</v>
      </c>
      <c r="AI67" s="248">
        <f>IFERROR((1000*NPV($AF$2,$AH67:$AH$90)-$AI$2*($AG67+NPV($AF$2,$AG68:$AG$90)))/AG67,0)</f>
        <v>946.78608864985495</v>
      </c>
    </row>
    <row r="68" spans="4:35">
      <c r="D68" s="237">
        <f t="shared" si="15"/>
        <v>64</v>
      </c>
      <c r="E68" s="224"/>
      <c r="F68" s="224"/>
      <c r="G68" s="225">
        <v>28.75</v>
      </c>
      <c r="H68" s="224">
        <f t="shared" si="6"/>
        <v>2000000</v>
      </c>
      <c r="I68" s="226">
        <f t="shared" si="7"/>
        <v>0</v>
      </c>
      <c r="J68" s="241">
        <f t="shared" si="20"/>
        <v>0</v>
      </c>
      <c r="K68" s="226"/>
      <c r="L68" s="249">
        <v>1</v>
      </c>
      <c r="M68" s="243">
        <f t="shared" si="9"/>
        <v>1000</v>
      </c>
      <c r="N68" s="245">
        <f t="shared" si="16"/>
        <v>0</v>
      </c>
      <c r="O68" s="245">
        <f t="shared" si="21"/>
        <v>0</v>
      </c>
      <c r="P68" s="246">
        <f t="shared" si="28"/>
        <v>0</v>
      </c>
      <c r="Q68" s="250"/>
      <c r="R68" s="235">
        <f t="shared" si="31"/>
        <v>0</v>
      </c>
      <c r="S68" s="235">
        <f t="shared" si="31"/>
        <v>0</v>
      </c>
      <c r="T68" s="235">
        <f t="shared" si="22"/>
        <v>0</v>
      </c>
      <c r="U68" s="235">
        <f t="shared" si="23"/>
        <v>0</v>
      </c>
      <c r="V68" s="250"/>
      <c r="W68" s="235">
        <v>0</v>
      </c>
      <c r="X68" s="235">
        <v>0</v>
      </c>
      <c r="Y68" s="235">
        <f t="shared" si="29"/>
        <v>0</v>
      </c>
      <c r="Z68" s="235">
        <f t="shared" si="24"/>
        <v>0</v>
      </c>
      <c r="AA68" s="235">
        <f t="shared" si="25"/>
        <v>0</v>
      </c>
      <c r="AB68" s="235">
        <f t="shared" si="26"/>
        <v>0</v>
      </c>
      <c r="AC68" s="235">
        <f t="shared" si="30"/>
        <v>0</v>
      </c>
      <c r="AD68" s="235">
        <f t="shared" si="14"/>
        <v>0</v>
      </c>
      <c r="AE68" s="228"/>
      <c r="AF68" s="237">
        <f t="shared" si="18"/>
        <v>64</v>
      </c>
      <c r="AG68" s="247">
        <f t="shared" si="19"/>
        <v>0</v>
      </c>
      <c r="AH68" s="247">
        <f t="shared" si="27"/>
        <v>0</v>
      </c>
      <c r="AI68" s="248">
        <f>IFERROR((1000*NPV($AF$2,$AH68:$AH$90)-$AI$2*($AG68+NPV($AF$2,$AG69:$AG$90)))/AG68,0)</f>
        <v>0</v>
      </c>
    </row>
    <row r="69" spans="4:35">
      <c r="D69" s="237">
        <f t="shared" si="15"/>
        <v>65</v>
      </c>
      <c r="E69" s="224"/>
      <c r="F69" s="224"/>
      <c r="G69" s="225">
        <v>28.75</v>
      </c>
      <c r="H69" s="224">
        <f t="shared" si="6"/>
        <v>2000000</v>
      </c>
      <c r="I69" s="226">
        <f t="shared" si="7"/>
        <v>0</v>
      </c>
      <c r="J69" s="241">
        <f t="shared" ref="J69:J90" si="32">H69*I69/1000</f>
        <v>0</v>
      </c>
      <c r="K69" s="226"/>
      <c r="L69" s="249">
        <v>1</v>
      </c>
      <c r="M69" s="243">
        <f t="shared" si="9"/>
        <v>1000</v>
      </c>
      <c r="N69" s="245">
        <f t="shared" si="16"/>
        <v>0</v>
      </c>
      <c r="O69" s="245">
        <f t="shared" ref="O69:O90" si="33">M69*N69/1000</f>
        <v>0</v>
      </c>
      <c r="P69" s="246">
        <f t="shared" si="28"/>
        <v>0</v>
      </c>
      <c r="Q69" s="250"/>
      <c r="R69" s="235">
        <f t="shared" si="31"/>
        <v>0</v>
      </c>
      <c r="S69" s="235">
        <f t="shared" si="31"/>
        <v>0</v>
      </c>
      <c r="T69" s="235">
        <f t="shared" ref="T69:T90" si="34">J69*P69</f>
        <v>0</v>
      </c>
      <c r="U69" s="235">
        <f t="shared" ref="U69:U90" si="35">$B$15*H69*P69</f>
        <v>0</v>
      </c>
      <c r="V69" s="250"/>
      <c r="W69" s="235">
        <v>0</v>
      </c>
      <c r="X69" s="235">
        <v>0</v>
      </c>
      <c r="Y69" s="235">
        <f t="shared" si="29"/>
        <v>0</v>
      </c>
      <c r="Z69" s="235">
        <f t="shared" ref="Z69:Z90" si="36">-H69*O69</f>
        <v>0</v>
      </c>
      <c r="AA69" s="235">
        <f t="shared" ref="AA69:AA90" si="37">SUM(W69:Z69)</f>
        <v>0</v>
      </c>
      <c r="AB69" s="235">
        <f t="shared" ref="AB69:AB90" si="38">R69-T69</f>
        <v>0</v>
      </c>
      <c r="AC69" s="235">
        <f t="shared" si="30"/>
        <v>0</v>
      </c>
      <c r="AD69" s="235">
        <f t="shared" si="14"/>
        <v>0</v>
      </c>
      <c r="AE69" s="228"/>
      <c r="AF69" s="237">
        <f t="shared" si="18"/>
        <v>65</v>
      </c>
      <c r="AG69" s="247">
        <f t="shared" si="19"/>
        <v>0</v>
      </c>
      <c r="AH69" s="247">
        <f t="shared" ref="AH69:AH90" si="39">M69*AG69/1000</f>
        <v>0</v>
      </c>
      <c r="AI69" s="248">
        <f>IFERROR((1000*NPV($AF$2,$AH69:$AH$90)-$AI$2*($AG69+NPV($AF$2,$AG70:$AG$90)))/AG69,0)</f>
        <v>0</v>
      </c>
    </row>
    <row r="70" spans="4:35">
      <c r="D70" s="237">
        <f t="shared" si="15"/>
        <v>66</v>
      </c>
      <c r="E70" s="224"/>
      <c r="F70" s="224"/>
      <c r="G70" s="225">
        <v>28.75</v>
      </c>
      <c r="H70" s="224">
        <f t="shared" ref="H70:H93" si="40">$B$11</f>
        <v>2000000</v>
      </c>
      <c r="I70" s="226">
        <f t="shared" ref="I70:I80" si="41">AI70</f>
        <v>0</v>
      </c>
      <c r="J70" s="241">
        <f t="shared" si="32"/>
        <v>0</v>
      </c>
      <c r="K70" s="226"/>
      <c r="L70" s="249">
        <v>1</v>
      </c>
      <c r="M70" s="243">
        <f t="shared" ref="M70:M93" si="42">L70*1000</f>
        <v>1000</v>
      </c>
      <c r="N70" s="245">
        <f t="shared" si="16"/>
        <v>0</v>
      </c>
      <c r="O70" s="245">
        <f t="shared" si="33"/>
        <v>0</v>
      </c>
      <c r="P70" s="246">
        <f t="shared" ref="P70:P90" si="43">N70-O70</f>
        <v>0</v>
      </c>
      <c r="Q70" s="250"/>
      <c r="R70" s="235">
        <f t="shared" si="31"/>
        <v>0</v>
      </c>
      <c r="S70" s="235">
        <f t="shared" si="31"/>
        <v>0</v>
      </c>
      <c r="T70" s="235">
        <f t="shared" si="34"/>
        <v>0</v>
      </c>
      <c r="U70" s="235">
        <f t="shared" si="35"/>
        <v>0</v>
      </c>
      <c r="V70" s="250"/>
      <c r="W70" s="235">
        <v>0</v>
      </c>
      <c r="X70" s="235">
        <v>0</v>
      </c>
      <c r="Y70" s="235">
        <f t="shared" ref="Y70:Y90" si="44">-$P70*G70</f>
        <v>0</v>
      </c>
      <c r="Z70" s="235">
        <f t="shared" si="36"/>
        <v>0</v>
      </c>
      <c r="AA70" s="235">
        <f t="shared" si="37"/>
        <v>0</v>
      </c>
      <c r="AB70" s="235">
        <f t="shared" si="38"/>
        <v>0</v>
      </c>
      <c r="AC70" s="235">
        <f t="shared" ref="AC70:AC90" si="45">$B$13*SUM(R70:S70,W70:X70)</f>
        <v>0</v>
      </c>
      <c r="AD70" s="235">
        <f t="shared" ref="AD70:AD80" si="46">SUM(AA70:AC70)</f>
        <v>0</v>
      </c>
      <c r="AE70" s="228"/>
      <c r="AF70" s="237">
        <f t="shared" si="18"/>
        <v>66</v>
      </c>
      <c r="AG70" s="247">
        <f t="shared" si="19"/>
        <v>0</v>
      </c>
      <c r="AH70" s="247">
        <f t="shared" si="39"/>
        <v>0</v>
      </c>
      <c r="AI70" s="248">
        <f>IFERROR((1000*NPV($AF$2,$AH70:$AH$90)-$AI$2*($AG70+NPV($AF$2,$AG71:$AG$90)))/AG70,0)</f>
        <v>0</v>
      </c>
    </row>
    <row r="71" spans="4:35">
      <c r="D71" s="237">
        <f t="shared" ref="D71:D90" si="47">D70+1</f>
        <v>67</v>
      </c>
      <c r="E71" s="224"/>
      <c r="F71" s="224"/>
      <c r="G71" s="225">
        <v>28.75</v>
      </c>
      <c r="H71" s="224">
        <f t="shared" si="40"/>
        <v>2000000</v>
      </c>
      <c r="I71" s="226">
        <f t="shared" si="41"/>
        <v>0</v>
      </c>
      <c r="J71" s="241">
        <f t="shared" si="32"/>
        <v>0</v>
      </c>
      <c r="K71" s="226"/>
      <c r="L71" s="249">
        <v>1</v>
      </c>
      <c r="M71" s="243">
        <f t="shared" si="42"/>
        <v>1000</v>
      </c>
      <c r="N71" s="245">
        <f t="shared" ref="N71:N80" si="48">P70</f>
        <v>0</v>
      </c>
      <c r="O71" s="245">
        <f t="shared" si="33"/>
        <v>0</v>
      </c>
      <c r="P71" s="246">
        <f t="shared" si="43"/>
        <v>0</v>
      </c>
      <c r="Q71" s="250"/>
      <c r="R71" s="235">
        <f t="shared" si="31"/>
        <v>0</v>
      </c>
      <c r="S71" s="235">
        <f t="shared" si="31"/>
        <v>0</v>
      </c>
      <c r="T71" s="235">
        <f t="shared" si="34"/>
        <v>0</v>
      </c>
      <c r="U71" s="235">
        <f t="shared" si="35"/>
        <v>0</v>
      </c>
      <c r="V71" s="250"/>
      <c r="W71" s="235">
        <v>0</v>
      </c>
      <c r="X71" s="235">
        <v>0</v>
      </c>
      <c r="Y71" s="235">
        <f t="shared" si="44"/>
        <v>0</v>
      </c>
      <c r="Z71" s="235">
        <f t="shared" si="36"/>
        <v>0</v>
      </c>
      <c r="AA71" s="235">
        <f t="shared" si="37"/>
        <v>0</v>
      </c>
      <c r="AB71" s="235">
        <f t="shared" si="38"/>
        <v>0</v>
      </c>
      <c r="AC71" s="235">
        <f t="shared" si="45"/>
        <v>0</v>
      </c>
      <c r="AD71" s="235">
        <f t="shared" si="46"/>
        <v>0</v>
      </c>
      <c r="AE71" s="228"/>
      <c r="AF71" s="237">
        <f t="shared" ref="AF71:AF93" si="49">AF70+1</f>
        <v>67</v>
      </c>
      <c r="AG71" s="247">
        <f t="shared" si="19"/>
        <v>0</v>
      </c>
      <c r="AH71" s="247">
        <f t="shared" si="39"/>
        <v>0</v>
      </c>
      <c r="AI71" s="248">
        <f>IFERROR((1000*NPV($AF$2,$AH71:$AH$90)-$AI$2*($AG71+NPV($AF$2,$AG72:$AG$90)))/AG71,0)</f>
        <v>0</v>
      </c>
    </row>
    <row r="72" spans="4:35">
      <c r="D72" s="237">
        <f t="shared" si="47"/>
        <v>68</v>
      </c>
      <c r="E72" s="224"/>
      <c r="F72" s="224"/>
      <c r="G72" s="225">
        <v>28.75</v>
      </c>
      <c r="H72" s="224">
        <f t="shared" si="40"/>
        <v>2000000</v>
      </c>
      <c r="I72" s="226">
        <f t="shared" si="41"/>
        <v>0</v>
      </c>
      <c r="J72" s="241">
        <f t="shared" si="32"/>
        <v>0</v>
      </c>
      <c r="K72" s="226"/>
      <c r="L72" s="249">
        <v>1</v>
      </c>
      <c r="M72" s="243">
        <f t="shared" si="42"/>
        <v>1000</v>
      </c>
      <c r="N72" s="245">
        <f t="shared" si="48"/>
        <v>0</v>
      </c>
      <c r="O72" s="245">
        <f t="shared" si="33"/>
        <v>0</v>
      </c>
      <c r="P72" s="246">
        <f t="shared" si="43"/>
        <v>0</v>
      </c>
      <c r="Q72" s="250"/>
      <c r="R72" s="235">
        <f t="shared" si="31"/>
        <v>0</v>
      </c>
      <c r="S72" s="235">
        <f t="shared" si="31"/>
        <v>0</v>
      </c>
      <c r="T72" s="235">
        <f t="shared" si="34"/>
        <v>0</v>
      </c>
      <c r="U72" s="235">
        <f t="shared" si="35"/>
        <v>0</v>
      </c>
      <c r="V72" s="250"/>
      <c r="W72" s="235">
        <v>0</v>
      </c>
      <c r="X72" s="235">
        <v>0</v>
      </c>
      <c r="Y72" s="235">
        <f t="shared" si="44"/>
        <v>0</v>
      </c>
      <c r="Z72" s="235">
        <f t="shared" si="36"/>
        <v>0</v>
      </c>
      <c r="AA72" s="235">
        <f t="shared" si="37"/>
        <v>0</v>
      </c>
      <c r="AB72" s="235">
        <f t="shared" si="38"/>
        <v>0</v>
      </c>
      <c r="AC72" s="235">
        <f t="shared" si="45"/>
        <v>0</v>
      </c>
      <c r="AD72" s="235">
        <f t="shared" si="46"/>
        <v>0</v>
      </c>
      <c r="AE72" s="228"/>
      <c r="AF72" s="237">
        <f t="shared" si="49"/>
        <v>68</v>
      </c>
      <c r="AG72" s="247">
        <f t="shared" ref="AG72:AG78" si="50">AG71-AH71</f>
        <v>0</v>
      </c>
      <c r="AH72" s="247">
        <f t="shared" si="39"/>
        <v>0</v>
      </c>
      <c r="AI72" s="248">
        <f>IFERROR((1000*NPV($AF$2,$AH72:$AH$90)-$AI$2*($AG72+NPV($AF$2,$AG73:$AG$90)))/AG72,0)</f>
        <v>0</v>
      </c>
    </row>
    <row r="73" spans="4:35">
      <c r="D73" s="237">
        <f t="shared" si="47"/>
        <v>69</v>
      </c>
      <c r="E73" s="224"/>
      <c r="F73" s="224"/>
      <c r="G73" s="225">
        <v>28.75</v>
      </c>
      <c r="H73" s="224">
        <f t="shared" si="40"/>
        <v>2000000</v>
      </c>
      <c r="I73" s="226">
        <f t="shared" si="41"/>
        <v>0</v>
      </c>
      <c r="J73" s="241">
        <f t="shared" si="32"/>
        <v>0</v>
      </c>
      <c r="K73" s="226"/>
      <c r="L73" s="249">
        <v>1</v>
      </c>
      <c r="M73" s="243">
        <f t="shared" si="42"/>
        <v>1000</v>
      </c>
      <c r="N73" s="245">
        <f t="shared" si="48"/>
        <v>0</v>
      </c>
      <c r="O73" s="245">
        <f t="shared" si="33"/>
        <v>0</v>
      </c>
      <c r="P73" s="246">
        <f t="shared" si="43"/>
        <v>0</v>
      </c>
      <c r="Q73" s="250"/>
      <c r="R73" s="235">
        <f t="shared" si="31"/>
        <v>0</v>
      </c>
      <c r="S73" s="235">
        <f t="shared" si="31"/>
        <v>0</v>
      </c>
      <c r="T73" s="235">
        <f t="shared" si="34"/>
        <v>0</v>
      </c>
      <c r="U73" s="235">
        <f t="shared" si="35"/>
        <v>0</v>
      </c>
      <c r="V73" s="250"/>
      <c r="W73" s="235">
        <v>0</v>
      </c>
      <c r="X73" s="235">
        <v>0</v>
      </c>
      <c r="Y73" s="235">
        <f t="shared" si="44"/>
        <v>0</v>
      </c>
      <c r="Z73" s="235">
        <f t="shared" si="36"/>
        <v>0</v>
      </c>
      <c r="AA73" s="235">
        <f t="shared" si="37"/>
        <v>0</v>
      </c>
      <c r="AB73" s="235">
        <f t="shared" si="38"/>
        <v>0</v>
      </c>
      <c r="AC73" s="235">
        <f t="shared" si="45"/>
        <v>0</v>
      </c>
      <c r="AD73" s="235">
        <f t="shared" si="46"/>
        <v>0</v>
      </c>
      <c r="AE73" s="228"/>
      <c r="AF73" s="237">
        <f t="shared" si="49"/>
        <v>69</v>
      </c>
      <c r="AG73" s="247">
        <f t="shared" si="50"/>
        <v>0</v>
      </c>
      <c r="AH73" s="247">
        <f t="shared" si="39"/>
        <v>0</v>
      </c>
      <c r="AI73" s="248">
        <f>IFERROR((1000*NPV($AF$2,$AH73:$AH$90)-$AI$2*($AG73+NPV($AF$2,$AG74:$AG$90)))/AG73,0)</f>
        <v>0</v>
      </c>
    </row>
    <row r="74" spans="4:35">
      <c r="D74" s="237">
        <f t="shared" si="47"/>
        <v>70</v>
      </c>
      <c r="E74" s="224"/>
      <c r="F74" s="224"/>
      <c r="G74" s="225">
        <v>28.75</v>
      </c>
      <c r="H74" s="224">
        <f t="shared" si="40"/>
        <v>2000000</v>
      </c>
      <c r="I74" s="226">
        <f t="shared" si="41"/>
        <v>0</v>
      </c>
      <c r="J74" s="241">
        <f t="shared" si="32"/>
        <v>0</v>
      </c>
      <c r="K74" s="226"/>
      <c r="L74" s="249">
        <v>1</v>
      </c>
      <c r="M74" s="243">
        <f t="shared" si="42"/>
        <v>1000</v>
      </c>
      <c r="N74" s="245">
        <f t="shared" si="48"/>
        <v>0</v>
      </c>
      <c r="O74" s="245">
        <f t="shared" si="33"/>
        <v>0</v>
      </c>
      <c r="P74" s="246">
        <f t="shared" si="43"/>
        <v>0</v>
      </c>
      <c r="Q74" s="250"/>
      <c r="R74" s="235">
        <f t="shared" si="31"/>
        <v>0</v>
      </c>
      <c r="S74" s="235">
        <f t="shared" si="31"/>
        <v>0</v>
      </c>
      <c r="T74" s="235">
        <f t="shared" si="34"/>
        <v>0</v>
      </c>
      <c r="U74" s="235">
        <f t="shared" si="35"/>
        <v>0</v>
      </c>
      <c r="V74" s="250"/>
      <c r="W74" s="235">
        <v>0</v>
      </c>
      <c r="X74" s="235">
        <v>0</v>
      </c>
      <c r="Y74" s="235">
        <f t="shared" si="44"/>
        <v>0</v>
      </c>
      <c r="Z74" s="235">
        <f t="shared" si="36"/>
        <v>0</v>
      </c>
      <c r="AA74" s="235">
        <f t="shared" si="37"/>
        <v>0</v>
      </c>
      <c r="AB74" s="235">
        <f t="shared" si="38"/>
        <v>0</v>
      </c>
      <c r="AC74" s="235">
        <f t="shared" si="45"/>
        <v>0</v>
      </c>
      <c r="AD74" s="235">
        <f t="shared" si="46"/>
        <v>0</v>
      </c>
      <c r="AE74" s="228"/>
      <c r="AF74" s="237">
        <f t="shared" si="49"/>
        <v>70</v>
      </c>
      <c r="AG74" s="247">
        <f t="shared" si="50"/>
        <v>0</v>
      </c>
      <c r="AH74" s="247">
        <f t="shared" si="39"/>
        <v>0</v>
      </c>
      <c r="AI74" s="248">
        <f>IFERROR((1000*NPV($AF$2,$AH74:$AH$90)-$AI$2*($AG74+NPV($AF$2,$AG75:$AG$90)))/AG74,0)</f>
        <v>0</v>
      </c>
    </row>
    <row r="75" spans="4:35">
      <c r="D75" s="237">
        <f t="shared" si="47"/>
        <v>71</v>
      </c>
      <c r="E75" s="224"/>
      <c r="F75" s="224"/>
      <c r="G75" s="225">
        <v>28.75</v>
      </c>
      <c r="H75" s="224">
        <f t="shared" si="40"/>
        <v>2000000</v>
      </c>
      <c r="I75" s="226">
        <f t="shared" si="41"/>
        <v>0</v>
      </c>
      <c r="J75" s="241">
        <f t="shared" si="32"/>
        <v>0</v>
      </c>
      <c r="K75" s="226"/>
      <c r="L75" s="249">
        <v>1</v>
      </c>
      <c r="M75" s="243">
        <f t="shared" si="42"/>
        <v>1000</v>
      </c>
      <c r="N75" s="245">
        <f t="shared" si="48"/>
        <v>0</v>
      </c>
      <c r="O75" s="245">
        <f t="shared" si="33"/>
        <v>0</v>
      </c>
      <c r="P75" s="246">
        <f t="shared" si="43"/>
        <v>0</v>
      </c>
      <c r="Q75" s="250"/>
      <c r="R75" s="235">
        <f t="shared" si="31"/>
        <v>0</v>
      </c>
      <c r="S75" s="235">
        <f t="shared" si="31"/>
        <v>0</v>
      </c>
      <c r="T75" s="235">
        <f t="shared" si="34"/>
        <v>0</v>
      </c>
      <c r="U75" s="235">
        <f t="shared" si="35"/>
        <v>0</v>
      </c>
      <c r="V75" s="250"/>
      <c r="W75" s="235">
        <v>0</v>
      </c>
      <c r="X75" s="235">
        <v>0</v>
      </c>
      <c r="Y75" s="235">
        <f t="shared" si="44"/>
        <v>0</v>
      </c>
      <c r="Z75" s="235">
        <f t="shared" si="36"/>
        <v>0</v>
      </c>
      <c r="AA75" s="235">
        <f t="shared" si="37"/>
        <v>0</v>
      </c>
      <c r="AB75" s="235">
        <f t="shared" si="38"/>
        <v>0</v>
      </c>
      <c r="AC75" s="235">
        <f t="shared" si="45"/>
        <v>0</v>
      </c>
      <c r="AD75" s="235">
        <f t="shared" si="46"/>
        <v>0</v>
      </c>
      <c r="AE75" s="228"/>
      <c r="AF75" s="237">
        <f t="shared" si="49"/>
        <v>71</v>
      </c>
      <c r="AG75" s="247">
        <f t="shared" si="50"/>
        <v>0</v>
      </c>
      <c r="AH75" s="247">
        <f t="shared" si="39"/>
        <v>0</v>
      </c>
      <c r="AI75" s="248">
        <f>IFERROR((1000*NPV($AF$2,$AH75:$AH$90)-$AI$2*($AG75+NPV($AF$2,$AG76:$AG$90)))/AG75,0)</f>
        <v>0</v>
      </c>
    </row>
    <row r="76" spans="4:35">
      <c r="D76" s="237">
        <f t="shared" si="47"/>
        <v>72</v>
      </c>
      <c r="E76" s="224"/>
      <c r="F76" s="224"/>
      <c r="G76" s="225">
        <v>28.75</v>
      </c>
      <c r="H76" s="224">
        <f t="shared" si="40"/>
        <v>2000000</v>
      </c>
      <c r="I76" s="226">
        <f t="shared" si="41"/>
        <v>0</v>
      </c>
      <c r="J76" s="241">
        <f t="shared" si="32"/>
        <v>0</v>
      </c>
      <c r="K76" s="226"/>
      <c r="L76" s="249">
        <v>1</v>
      </c>
      <c r="M76" s="243">
        <f t="shared" si="42"/>
        <v>1000</v>
      </c>
      <c r="N76" s="245">
        <f t="shared" si="48"/>
        <v>0</v>
      </c>
      <c r="O76" s="245">
        <f t="shared" si="33"/>
        <v>0</v>
      </c>
      <c r="P76" s="246">
        <f t="shared" si="43"/>
        <v>0</v>
      </c>
      <c r="Q76" s="250"/>
      <c r="R76" s="235">
        <f t="shared" si="31"/>
        <v>0</v>
      </c>
      <c r="S76" s="235">
        <f t="shared" si="31"/>
        <v>0</v>
      </c>
      <c r="T76" s="235">
        <f t="shared" si="34"/>
        <v>0</v>
      </c>
      <c r="U76" s="235">
        <f t="shared" si="35"/>
        <v>0</v>
      </c>
      <c r="V76" s="250"/>
      <c r="W76" s="235">
        <v>0</v>
      </c>
      <c r="X76" s="235">
        <v>0</v>
      </c>
      <c r="Y76" s="235">
        <f t="shared" si="44"/>
        <v>0</v>
      </c>
      <c r="Z76" s="235">
        <f t="shared" si="36"/>
        <v>0</v>
      </c>
      <c r="AA76" s="235">
        <f t="shared" si="37"/>
        <v>0</v>
      </c>
      <c r="AB76" s="235">
        <f t="shared" si="38"/>
        <v>0</v>
      </c>
      <c r="AC76" s="235">
        <f t="shared" si="45"/>
        <v>0</v>
      </c>
      <c r="AD76" s="235">
        <f t="shared" si="46"/>
        <v>0</v>
      </c>
      <c r="AE76" s="228"/>
      <c r="AF76" s="237">
        <f t="shared" si="49"/>
        <v>72</v>
      </c>
      <c r="AG76" s="247">
        <f t="shared" si="50"/>
        <v>0</v>
      </c>
      <c r="AH76" s="247">
        <f t="shared" si="39"/>
        <v>0</v>
      </c>
      <c r="AI76" s="248">
        <f>IFERROR((1000*NPV($AF$2,$AH76:$AH$90)-$AI$2*($AG76+NPV($AF$2,$AG77:$AG$90)))/AG76,0)</f>
        <v>0</v>
      </c>
    </row>
    <row r="77" spans="4:35">
      <c r="D77" s="237">
        <f t="shared" si="47"/>
        <v>73</v>
      </c>
      <c r="E77" s="224"/>
      <c r="F77" s="224"/>
      <c r="G77" s="225">
        <v>28.75</v>
      </c>
      <c r="H77" s="224">
        <f t="shared" si="40"/>
        <v>2000000</v>
      </c>
      <c r="I77" s="226">
        <f t="shared" si="41"/>
        <v>0</v>
      </c>
      <c r="J77" s="241">
        <f t="shared" si="32"/>
        <v>0</v>
      </c>
      <c r="K77" s="226"/>
      <c r="L77" s="249">
        <v>1</v>
      </c>
      <c r="M77" s="243">
        <f t="shared" si="42"/>
        <v>1000</v>
      </c>
      <c r="N77" s="245">
        <f t="shared" si="48"/>
        <v>0</v>
      </c>
      <c r="O77" s="245">
        <f t="shared" si="33"/>
        <v>0</v>
      </c>
      <c r="P77" s="246">
        <f t="shared" si="43"/>
        <v>0</v>
      </c>
      <c r="Q77" s="250"/>
      <c r="R77" s="235">
        <f t="shared" si="31"/>
        <v>0</v>
      </c>
      <c r="S77" s="235">
        <f t="shared" si="31"/>
        <v>0</v>
      </c>
      <c r="T77" s="235">
        <f t="shared" si="34"/>
        <v>0</v>
      </c>
      <c r="U77" s="235">
        <f t="shared" si="35"/>
        <v>0</v>
      </c>
      <c r="V77" s="250"/>
      <c r="W77" s="235">
        <v>0</v>
      </c>
      <c r="X77" s="235">
        <v>0</v>
      </c>
      <c r="Y77" s="235">
        <f t="shared" si="44"/>
        <v>0</v>
      </c>
      <c r="Z77" s="235">
        <f t="shared" si="36"/>
        <v>0</v>
      </c>
      <c r="AA77" s="235">
        <f t="shared" si="37"/>
        <v>0</v>
      </c>
      <c r="AB77" s="235">
        <f t="shared" si="38"/>
        <v>0</v>
      </c>
      <c r="AC77" s="235">
        <f t="shared" si="45"/>
        <v>0</v>
      </c>
      <c r="AD77" s="235">
        <f t="shared" si="46"/>
        <v>0</v>
      </c>
      <c r="AE77" s="228"/>
      <c r="AF77" s="237">
        <f t="shared" si="49"/>
        <v>73</v>
      </c>
      <c r="AG77" s="247">
        <f t="shared" si="50"/>
        <v>0</v>
      </c>
      <c r="AH77" s="247">
        <f t="shared" si="39"/>
        <v>0</v>
      </c>
      <c r="AI77" s="248">
        <f>IFERROR((1000*NPV($AF$2,$AH77:$AH$90)-$AI$2*($AG77+NPV($AF$2,$AG78:$AG$90)))/AG77,0)</f>
        <v>0</v>
      </c>
    </row>
    <row r="78" spans="4:35">
      <c r="D78" s="237">
        <f t="shared" si="47"/>
        <v>74</v>
      </c>
      <c r="E78" s="224"/>
      <c r="F78" s="224"/>
      <c r="G78" s="225">
        <v>28.75</v>
      </c>
      <c r="H78" s="224">
        <f t="shared" si="40"/>
        <v>2000000</v>
      </c>
      <c r="I78" s="226">
        <f t="shared" si="41"/>
        <v>0</v>
      </c>
      <c r="J78" s="241">
        <f t="shared" si="32"/>
        <v>0</v>
      </c>
      <c r="K78" s="226"/>
      <c r="L78" s="249">
        <v>1</v>
      </c>
      <c r="M78" s="243">
        <f t="shared" si="42"/>
        <v>1000</v>
      </c>
      <c r="N78" s="245">
        <f t="shared" si="48"/>
        <v>0</v>
      </c>
      <c r="O78" s="245">
        <f t="shared" si="33"/>
        <v>0</v>
      </c>
      <c r="P78" s="246">
        <f t="shared" si="43"/>
        <v>0</v>
      </c>
      <c r="Q78" s="250"/>
      <c r="R78" s="235">
        <f t="shared" si="31"/>
        <v>0</v>
      </c>
      <c r="S78" s="235">
        <f t="shared" si="31"/>
        <v>0</v>
      </c>
      <c r="T78" s="235">
        <f t="shared" si="34"/>
        <v>0</v>
      </c>
      <c r="U78" s="235">
        <f t="shared" si="35"/>
        <v>0</v>
      </c>
      <c r="V78" s="250"/>
      <c r="W78" s="235">
        <v>0</v>
      </c>
      <c r="X78" s="235">
        <v>0</v>
      </c>
      <c r="Y78" s="235">
        <f t="shared" si="44"/>
        <v>0</v>
      </c>
      <c r="Z78" s="235">
        <f t="shared" si="36"/>
        <v>0</v>
      </c>
      <c r="AA78" s="235">
        <f t="shared" si="37"/>
        <v>0</v>
      </c>
      <c r="AB78" s="235">
        <f t="shared" si="38"/>
        <v>0</v>
      </c>
      <c r="AC78" s="235">
        <f t="shared" si="45"/>
        <v>0</v>
      </c>
      <c r="AD78" s="235">
        <f t="shared" si="46"/>
        <v>0</v>
      </c>
      <c r="AE78" s="228"/>
      <c r="AF78" s="237">
        <f t="shared" si="49"/>
        <v>74</v>
      </c>
      <c r="AG78" s="247">
        <f t="shared" si="50"/>
        <v>0</v>
      </c>
      <c r="AH78" s="247">
        <f t="shared" si="39"/>
        <v>0</v>
      </c>
      <c r="AI78" s="248">
        <f>IFERROR((1000*NPV($AF$2,$AH78:$AH$90)-$AI$2*($AG78+NPV($AF$2,$AG79:$AG$90)))/AG78,0)</f>
        <v>0</v>
      </c>
    </row>
    <row r="79" spans="4:35">
      <c r="D79" s="237">
        <f t="shared" si="47"/>
        <v>75</v>
      </c>
      <c r="E79" s="224"/>
      <c r="F79" s="224"/>
      <c r="G79" s="225">
        <v>28.75</v>
      </c>
      <c r="H79" s="224">
        <f t="shared" si="40"/>
        <v>2000000</v>
      </c>
      <c r="I79" s="226">
        <f t="shared" si="41"/>
        <v>0</v>
      </c>
      <c r="J79" s="241">
        <f t="shared" si="32"/>
        <v>0</v>
      </c>
      <c r="K79" s="226"/>
      <c r="L79" s="249">
        <v>1</v>
      </c>
      <c r="M79" s="243">
        <f t="shared" si="42"/>
        <v>1000</v>
      </c>
      <c r="N79" s="245">
        <f t="shared" si="48"/>
        <v>0</v>
      </c>
      <c r="O79" s="245">
        <f t="shared" si="33"/>
        <v>0</v>
      </c>
      <c r="P79" s="246">
        <f t="shared" si="43"/>
        <v>0</v>
      </c>
      <c r="Q79" s="250"/>
      <c r="R79" s="235">
        <f t="shared" si="31"/>
        <v>0</v>
      </c>
      <c r="S79" s="235">
        <f t="shared" si="31"/>
        <v>0</v>
      </c>
      <c r="T79" s="235">
        <f t="shared" si="34"/>
        <v>0</v>
      </c>
      <c r="U79" s="235">
        <f t="shared" si="35"/>
        <v>0</v>
      </c>
      <c r="V79" s="250"/>
      <c r="W79" s="235">
        <v>0</v>
      </c>
      <c r="X79" s="235">
        <v>0</v>
      </c>
      <c r="Y79" s="235">
        <f t="shared" si="44"/>
        <v>0</v>
      </c>
      <c r="Z79" s="235">
        <f t="shared" si="36"/>
        <v>0</v>
      </c>
      <c r="AA79" s="235">
        <f t="shared" si="37"/>
        <v>0</v>
      </c>
      <c r="AB79" s="235">
        <f t="shared" si="38"/>
        <v>0</v>
      </c>
      <c r="AC79" s="235">
        <f t="shared" si="45"/>
        <v>0</v>
      </c>
      <c r="AD79" s="235">
        <f t="shared" si="46"/>
        <v>0</v>
      </c>
      <c r="AE79" s="228"/>
      <c r="AF79" s="237">
        <f t="shared" si="49"/>
        <v>75</v>
      </c>
      <c r="AG79" s="247">
        <f>AG78-AH78</f>
        <v>0</v>
      </c>
      <c r="AH79" s="247">
        <f t="shared" si="39"/>
        <v>0</v>
      </c>
      <c r="AI79" s="248">
        <f>IFERROR((1000*NPV($AF$2,$AH79:$AH$90)-$AI$2*($AG79+NPV($AF$2,$AG80:$AG$90)))/AG79,0)</f>
        <v>0</v>
      </c>
    </row>
    <row r="80" spans="4:35">
      <c r="D80" s="237">
        <f t="shared" si="47"/>
        <v>76</v>
      </c>
      <c r="E80" s="224"/>
      <c r="F80" s="224"/>
      <c r="G80" s="225">
        <v>28.75</v>
      </c>
      <c r="H80" s="224">
        <f t="shared" si="40"/>
        <v>2000000</v>
      </c>
      <c r="I80" s="226">
        <f t="shared" si="41"/>
        <v>0</v>
      </c>
      <c r="J80" s="241">
        <f t="shared" si="32"/>
        <v>0</v>
      </c>
      <c r="K80" s="226"/>
      <c r="L80" s="249">
        <v>1</v>
      </c>
      <c r="M80" s="243">
        <f t="shared" si="42"/>
        <v>1000</v>
      </c>
      <c r="N80" s="245">
        <f t="shared" si="48"/>
        <v>0</v>
      </c>
      <c r="O80" s="245">
        <f t="shared" si="33"/>
        <v>0</v>
      </c>
      <c r="P80" s="246">
        <f t="shared" si="43"/>
        <v>0</v>
      </c>
      <c r="Q80" s="250"/>
      <c r="R80" s="235">
        <f t="shared" si="31"/>
        <v>0</v>
      </c>
      <c r="S80" s="235">
        <f t="shared" si="31"/>
        <v>0</v>
      </c>
      <c r="T80" s="235">
        <f t="shared" si="34"/>
        <v>0</v>
      </c>
      <c r="U80" s="235">
        <f t="shared" si="35"/>
        <v>0</v>
      </c>
      <c r="V80" s="250"/>
      <c r="W80" s="235">
        <v>0</v>
      </c>
      <c r="X80" s="235">
        <v>0</v>
      </c>
      <c r="Y80" s="235">
        <f t="shared" si="44"/>
        <v>0</v>
      </c>
      <c r="Z80" s="235">
        <f t="shared" si="36"/>
        <v>0</v>
      </c>
      <c r="AA80" s="235">
        <f t="shared" si="37"/>
        <v>0</v>
      </c>
      <c r="AB80" s="235">
        <f t="shared" si="38"/>
        <v>0</v>
      </c>
      <c r="AC80" s="235">
        <f t="shared" si="45"/>
        <v>0</v>
      </c>
      <c r="AD80" s="235">
        <f t="shared" si="46"/>
        <v>0</v>
      </c>
      <c r="AE80" s="228"/>
      <c r="AF80" s="237">
        <f t="shared" si="49"/>
        <v>76</v>
      </c>
      <c r="AG80" s="247">
        <f>AG79-AH79</f>
        <v>0</v>
      </c>
      <c r="AH80" s="247">
        <f t="shared" si="39"/>
        <v>0</v>
      </c>
      <c r="AI80" s="248">
        <f>IFERROR((1000*NPV($AF$2,$AH80:$AH$90)-$AI$2*($AG80+NPV($AF$2,$AG81:$AG$90)))/AG80,0)</f>
        <v>0</v>
      </c>
    </row>
    <row r="81" spans="4:35">
      <c r="D81" s="237">
        <f t="shared" si="47"/>
        <v>77</v>
      </c>
      <c r="E81" s="228"/>
      <c r="F81" s="228"/>
      <c r="G81" s="225">
        <v>28.75</v>
      </c>
      <c r="H81" s="224">
        <f t="shared" si="40"/>
        <v>2000000</v>
      </c>
      <c r="I81" s="226">
        <f t="shared" ref="I81:I90" si="51">AI81</f>
        <v>0</v>
      </c>
      <c r="J81" s="241">
        <f t="shared" si="32"/>
        <v>0</v>
      </c>
      <c r="K81" s="226"/>
      <c r="L81" s="249">
        <v>1</v>
      </c>
      <c r="M81" s="243">
        <f t="shared" si="42"/>
        <v>1000</v>
      </c>
      <c r="N81" s="245">
        <f t="shared" ref="N81:N90" si="52">P80</f>
        <v>0</v>
      </c>
      <c r="O81" s="245">
        <f t="shared" si="33"/>
        <v>0</v>
      </c>
      <c r="P81" s="246">
        <f t="shared" si="43"/>
        <v>0</v>
      </c>
      <c r="Q81" s="228"/>
      <c r="R81" s="235">
        <f t="shared" ref="R81:R90" si="53">T80</f>
        <v>0</v>
      </c>
      <c r="S81" s="235">
        <f t="shared" ref="S81:S90" si="54">U80</f>
        <v>0</v>
      </c>
      <c r="T81" s="235">
        <f t="shared" si="34"/>
        <v>0</v>
      </c>
      <c r="U81" s="235">
        <f t="shared" si="35"/>
        <v>0</v>
      </c>
      <c r="V81" s="228"/>
      <c r="W81" s="235">
        <v>0</v>
      </c>
      <c r="X81" s="235">
        <v>0</v>
      </c>
      <c r="Y81" s="235">
        <f t="shared" si="44"/>
        <v>0</v>
      </c>
      <c r="Z81" s="235">
        <f t="shared" si="36"/>
        <v>0</v>
      </c>
      <c r="AA81" s="235">
        <f t="shared" si="37"/>
        <v>0</v>
      </c>
      <c r="AB81" s="235">
        <f t="shared" si="38"/>
        <v>0</v>
      </c>
      <c r="AC81" s="235">
        <f t="shared" si="45"/>
        <v>0</v>
      </c>
      <c r="AD81" s="235">
        <f t="shared" ref="AD81:AD90" si="55">SUM(AA81:AC81)</f>
        <v>0</v>
      </c>
      <c r="AE81" s="228"/>
      <c r="AF81" s="237">
        <f t="shared" si="49"/>
        <v>77</v>
      </c>
      <c r="AG81" s="247">
        <f t="shared" ref="AG81:AG90" si="56">AG80-AH80</f>
        <v>0</v>
      </c>
      <c r="AH81" s="247">
        <f t="shared" si="39"/>
        <v>0</v>
      </c>
      <c r="AI81" s="248">
        <f>IFERROR((1000*NPV($AF$2,$AH81:$AH$90)-$AI$2*($AG81+NPV($AF$2,$AG82:$AG$90)))/AG81,0)</f>
        <v>0</v>
      </c>
    </row>
    <row r="82" spans="4:35">
      <c r="D82" s="237">
        <f t="shared" si="47"/>
        <v>78</v>
      </c>
      <c r="E82" s="228"/>
      <c r="F82" s="228"/>
      <c r="G82" s="225">
        <v>28.75</v>
      </c>
      <c r="H82" s="224">
        <f t="shared" si="40"/>
        <v>2000000</v>
      </c>
      <c r="I82" s="226">
        <f t="shared" si="51"/>
        <v>0</v>
      </c>
      <c r="J82" s="241">
        <f t="shared" si="32"/>
        <v>0</v>
      </c>
      <c r="K82" s="226"/>
      <c r="L82" s="249">
        <v>1</v>
      </c>
      <c r="M82" s="243">
        <f t="shared" si="42"/>
        <v>1000</v>
      </c>
      <c r="N82" s="245">
        <f t="shared" si="52"/>
        <v>0</v>
      </c>
      <c r="O82" s="245">
        <f t="shared" si="33"/>
        <v>0</v>
      </c>
      <c r="P82" s="246">
        <f t="shared" si="43"/>
        <v>0</v>
      </c>
      <c r="Q82" s="228"/>
      <c r="R82" s="235">
        <f t="shared" si="53"/>
        <v>0</v>
      </c>
      <c r="S82" s="235">
        <f t="shared" si="54"/>
        <v>0</v>
      </c>
      <c r="T82" s="235">
        <f t="shared" si="34"/>
        <v>0</v>
      </c>
      <c r="U82" s="235">
        <f t="shared" si="35"/>
        <v>0</v>
      </c>
      <c r="V82" s="228"/>
      <c r="W82" s="235">
        <v>0</v>
      </c>
      <c r="X82" s="235">
        <v>0</v>
      </c>
      <c r="Y82" s="235">
        <f t="shared" si="44"/>
        <v>0</v>
      </c>
      <c r="Z82" s="235">
        <f t="shared" si="36"/>
        <v>0</v>
      </c>
      <c r="AA82" s="235">
        <f t="shared" si="37"/>
        <v>0</v>
      </c>
      <c r="AB82" s="235">
        <f t="shared" si="38"/>
        <v>0</v>
      </c>
      <c r="AC82" s="235">
        <f t="shared" si="45"/>
        <v>0</v>
      </c>
      <c r="AD82" s="235">
        <f t="shared" si="55"/>
        <v>0</v>
      </c>
      <c r="AE82" s="228"/>
      <c r="AF82" s="237">
        <f t="shared" si="49"/>
        <v>78</v>
      </c>
      <c r="AG82" s="247">
        <f t="shared" si="56"/>
        <v>0</v>
      </c>
      <c r="AH82" s="247">
        <f t="shared" si="39"/>
        <v>0</v>
      </c>
      <c r="AI82" s="248">
        <f>IFERROR((1000*NPV($AF$2,$AH82:$AH$90)-$AI$2*($AG82+NPV($AF$2,$AG83:$AG$90)))/AG82,0)</f>
        <v>0</v>
      </c>
    </row>
    <row r="83" spans="4:35">
      <c r="D83" s="237">
        <f t="shared" si="47"/>
        <v>79</v>
      </c>
      <c r="E83" s="228"/>
      <c r="F83" s="228"/>
      <c r="G83" s="225">
        <v>28.75</v>
      </c>
      <c r="H83" s="224">
        <f t="shared" si="40"/>
        <v>2000000</v>
      </c>
      <c r="I83" s="226">
        <f t="shared" si="51"/>
        <v>0</v>
      </c>
      <c r="J83" s="241">
        <f t="shared" si="32"/>
        <v>0</v>
      </c>
      <c r="K83" s="226"/>
      <c r="L83" s="249">
        <v>1</v>
      </c>
      <c r="M83" s="243">
        <f t="shared" si="42"/>
        <v>1000</v>
      </c>
      <c r="N83" s="245">
        <f t="shared" si="52"/>
        <v>0</v>
      </c>
      <c r="O83" s="245">
        <f t="shared" si="33"/>
        <v>0</v>
      </c>
      <c r="P83" s="246">
        <f t="shared" si="43"/>
        <v>0</v>
      </c>
      <c r="Q83" s="228"/>
      <c r="R83" s="235">
        <f t="shared" si="53"/>
        <v>0</v>
      </c>
      <c r="S83" s="235">
        <f t="shared" si="54"/>
        <v>0</v>
      </c>
      <c r="T83" s="235">
        <f t="shared" si="34"/>
        <v>0</v>
      </c>
      <c r="U83" s="235">
        <f t="shared" si="35"/>
        <v>0</v>
      </c>
      <c r="V83" s="228"/>
      <c r="W83" s="235">
        <v>0</v>
      </c>
      <c r="X83" s="235">
        <v>0</v>
      </c>
      <c r="Y83" s="235">
        <f t="shared" si="44"/>
        <v>0</v>
      </c>
      <c r="Z83" s="235">
        <f t="shared" si="36"/>
        <v>0</v>
      </c>
      <c r="AA83" s="235">
        <f t="shared" si="37"/>
        <v>0</v>
      </c>
      <c r="AB83" s="235">
        <f t="shared" si="38"/>
        <v>0</v>
      </c>
      <c r="AC83" s="235">
        <f t="shared" si="45"/>
        <v>0</v>
      </c>
      <c r="AD83" s="235">
        <f t="shared" si="55"/>
        <v>0</v>
      </c>
      <c r="AE83" s="228"/>
      <c r="AF83" s="237">
        <f t="shared" si="49"/>
        <v>79</v>
      </c>
      <c r="AG83" s="247">
        <f t="shared" si="56"/>
        <v>0</v>
      </c>
      <c r="AH83" s="247">
        <f t="shared" si="39"/>
        <v>0</v>
      </c>
      <c r="AI83" s="248">
        <f>IFERROR((1000*NPV($AF$2,$AH83:$AH$90)-$AI$2*($AG83+NPV($AF$2,$AG84:$AG$90)))/AG83,0)</f>
        <v>0</v>
      </c>
    </row>
    <row r="84" spans="4:35">
      <c r="D84" s="237">
        <f t="shared" si="47"/>
        <v>80</v>
      </c>
      <c r="E84" s="228"/>
      <c r="F84" s="228"/>
      <c r="G84" s="225">
        <v>28.75</v>
      </c>
      <c r="H84" s="224">
        <f t="shared" si="40"/>
        <v>2000000</v>
      </c>
      <c r="I84" s="226">
        <f t="shared" si="51"/>
        <v>0</v>
      </c>
      <c r="J84" s="241">
        <f t="shared" si="32"/>
        <v>0</v>
      </c>
      <c r="K84" s="226"/>
      <c r="L84" s="249">
        <v>1</v>
      </c>
      <c r="M84" s="243">
        <f t="shared" si="42"/>
        <v>1000</v>
      </c>
      <c r="N84" s="245">
        <f t="shared" si="52"/>
        <v>0</v>
      </c>
      <c r="O84" s="245">
        <f t="shared" si="33"/>
        <v>0</v>
      </c>
      <c r="P84" s="246">
        <f t="shared" si="43"/>
        <v>0</v>
      </c>
      <c r="Q84" s="228"/>
      <c r="R84" s="235">
        <f t="shared" si="53"/>
        <v>0</v>
      </c>
      <c r="S84" s="235">
        <f t="shared" si="54"/>
        <v>0</v>
      </c>
      <c r="T84" s="235">
        <f t="shared" si="34"/>
        <v>0</v>
      </c>
      <c r="U84" s="235">
        <f t="shared" si="35"/>
        <v>0</v>
      </c>
      <c r="V84" s="228"/>
      <c r="W84" s="235">
        <v>0</v>
      </c>
      <c r="X84" s="235">
        <v>0</v>
      </c>
      <c r="Y84" s="235">
        <f t="shared" si="44"/>
        <v>0</v>
      </c>
      <c r="Z84" s="235">
        <f t="shared" si="36"/>
        <v>0</v>
      </c>
      <c r="AA84" s="235">
        <f t="shared" si="37"/>
        <v>0</v>
      </c>
      <c r="AB84" s="235">
        <f t="shared" si="38"/>
        <v>0</v>
      </c>
      <c r="AC84" s="235">
        <f t="shared" si="45"/>
        <v>0</v>
      </c>
      <c r="AD84" s="235">
        <f t="shared" si="55"/>
        <v>0</v>
      </c>
      <c r="AE84" s="228"/>
      <c r="AF84" s="237">
        <f t="shared" si="49"/>
        <v>80</v>
      </c>
      <c r="AG84" s="247">
        <f t="shared" si="56"/>
        <v>0</v>
      </c>
      <c r="AH84" s="247">
        <f t="shared" si="39"/>
        <v>0</v>
      </c>
      <c r="AI84" s="248">
        <f>IFERROR((1000*NPV($AF$2,$AH84:$AH$90)-$AI$2*($AG84+NPV($AF$2,$AG85:$AG$90)))/AG84,0)</f>
        <v>0</v>
      </c>
    </row>
    <row r="85" spans="4:35">
      <c r="D85" s="237">
        <f t="shared" si="47"/>
        <v>81</v>
      </c>
      <c r="E85" s="228"/>
      <c r="F85" s="228"/>
      <c r="G85" s="225">
        <v>28.75</v>
      </c>
      <c r="H85" s="224">
        <f t="shared" si="40"/>
        <v>2000000</v>
      </c>
      <c r="I85" s="226">
        <f t="shared" si="51"/>
        <v>0</v>
      </c>
      <c r="J85" s="241">
        <f t="shared" si="32"/>
        <v>0</v>
      </c>
      <c r="K85" s="226"/>
      <c r="L85" s="249">
        <v>1</v>
      </c>
      <c r="M85" s="243">
        <f t="shared" si="42"/>
        <v>1000</v>
      </c>
      <c r="N85" s="245">
        <f t="shared" si="52"/>
        <v>0</v>
      </c>
      <c r="O85" s="245">
        <f t="shared" si="33"/>
        <v>0</v>
      </c>
      <c r="P85" s="246">
        <f t="shared" si="43"/>
        <v>0</v>
      </c>
      <c r="Q85" s="228"/>
      <c r="R85" s="235">
        <f t="shared" si="53"/>
        <v>0</v>
      </c>
      <c r="S85" s="235">
        <f t="shared" si="54"/>
        <v>0</v>
      </c>
      <c r="T85" s="235">
        <f t="shared" si="34"/>
        <v>0</v>
      </c>
      <c r="U85" s="235">
        <f t="shared" si="35"/>
        <v>0</v>
      </c>
      <c r="V85" s="228"/>
      <c r="W85" s="235">
        <v>0</v>
      </c>
      <c r="X85" s="235">
        <v>0</v>
      </c>
      <c r="Y85" s="235">
        <f t="shared" si="44"/>
        <v>0</v>
      </c>
      <c r="Z85" s="235">
        <f t="shared" si="36"/>
        <v>0</v>
      </c>
      <c r="AA85" s="235">
        <f t="shared" si="37"/>
        <v>0</v>
      </c>
      <c r="AB85" s="235">
        <f t="shared" si="38"/>
        <v>0</v>
      </c>
      <c r="AC85" s="235">
        <f t="shared" si="45"/>
        <v>0</v>
      </c>
      <c r="AD85" s="235">
        <f t="shared" si="55"/>
        <v>0</v>
      </c>
      <c r="AE85" s="228"/>
      <c r="AF85" s="237">
        <f t="shared" si="49"/>
        <v>81</v>
      </c>
      <c r="AG85" s="247">
        <f t="shared" si="56"/>
        <v>0</v>
      </c>
      <c r="AH85" s="247">
        <f t="shared" si="39"/>
        <v>0</v>
      </c>
      <c r="AI85" s="248">
        <f>IFERROR((1000*NPV($AF$2,$AH85:$AH$90)-$AI$2*($AG85+NPV($AF$2,$AG86:$AG$90)))/AG85,0)</f>
        <v>0</v>
      </c>
    </row>
    <row r="86" spans="4:35">
      <c r="D86" s="237">
        <f t="shared" si="47"/>
        <v>82</v>
      </c>
      <c r="E86" s="228"/>
      <c r="F86" s="228"/>
      <c r="G86" s="225">
        <v>28.75</v>
      </c>
      <c r="H86" s="224">
        <f t="shared" si="40"/>
        <v>2000000</v>
      </c>
      <c r="I86" s="226">
        <f t="shared" si="51"/>
        <v>0</v>
      </c>
      <c r="J86" s="241">
        <f t="shared" si="32"/>
        <v>0</v>
      </c>
      <c r="K86" s="226"/>
      <c r="L86" s="249">
        <v>1</v>
      </c>
      <c r="M86" s="243">
        <f t="shared" si="42"/>
        <v>1000</v>
      </c>
      <c r="N86" s="245">
        <f t="shared" si="52"/>
        <v>0</v>
      </c>
      <c r="O86" s="245">
        <f t="shared" si="33"/>
        <v>0</v>
      </c>
      <c r="P86" s="246">
        <f t="shared" si="43"/>
        <v>0</v>
      </c>
      <c r="Q86" s="228"/>
      <c r="R86" s="235">
        <f t="shared" si="53"/>
        <v>0</v>
      </c>
      <c r="S86" s="235">
        <f t="shared" si="54"/>
        <v>0</v>
      </c>
      <c r="T86" s="235">
        <f t="shared" si="34"/>
        <v>0</v>
      </c>
      <c r="U86" s="235">
        <f t="shared" si="35"/>
        <v>0</v>
      </c>
      <c r="V86" s="228"/>
      <c r="W86" s="235">
        <v>0</v>
      </c>
      <c r="X86" s="235">
        <v>0</v>
      </c>
      <c r="Y86" s="235">
        <f t="shared" si="44"/>
        <v>0</v>
      </c>
      <c r="Z86" s="235">
        <f t="shared" si="36"/>
        <v>0</v>
      </c>
      <c r="AA86" s="235">
        <f t="shared" si="37"/>
        <v>0</v>
      </c>
      <c r="AB86" s="235">
        <f t="shared" si="38"/>
        <v>0</v>
      </c>
      <c r="AC86" s="235">
        <f t="shared" si="45"/>
        <v>0</v>
      </c>
      <c r="AD86" s="235">
        <f t="shared" si="55"/>
        <v>0</v>
      </c>
      <c r="AE86" s="228"/>
      <c r="AF86" s="237">
        <f t="shared" si="49"/>
        <v>82</v>
      </c>
      <c r="AG86" s="247">
        <f t="shared" si="56"/>
        <v>0</v>
      </c>
      <c r="AH86" s="247">
        <f t="shared" si="39"/>
        <v>0</v>
      </c>
      <c r="AI86" s="248">
        <f>IFERROR((1000*NPV($AF$2,$AH86:$AH$90)-$AI$2*($AG86+NPV($AF$2,$AG87:$AG$90)))/AG86,0)</f>
        <v>0</v>
      </c>
    </row>
    <row r="87" spans="4:35">
      <c r="D87" s="237">
        <f t="shared" si="47"/>
        <v>83</v>
      </c>
      <c r="E87" s="228"/>
      <c r="F87" s="228"/>
      <c r="G87" s="225">
        <v>28.75</v>
      </c>
      <c r="H87" s="224">
        <f t="shared" si="40"/>
        <v>2000000</v>
      </c>
      <c r="I87" s="226">
        <f t="shared" si="51"/>
        <v>0</v>
      </c>
      <c r="J87" s="241">
        <f t="shared" si="32"/>
        <v>0</v>
      </c>
      <c r="K87" s="226"/>
      <c r="L87" s="249">
        <v>1</v>
      </c>
      <c r="M87" s="243">
        <f t="shared" si="42"/>
        <v>1000</v>
      </c>
      <c r="N87" s="245">
        <f t="shared" si="52"/>
        <v>0</v>
      </c>
      <c r="O87" s="245">
        <f t="shared" si="33"/>
        <v>0</v>
      </c>
      <c r="P87" s="246">
        <f t="shared" si="43"/>
        <v>0</v>
      </c>
      <c r="Q87" s="228"/>
      <c r="R87" s="235">
        <f t="shared" si="53"/>
        <v>0</v>
      </c>
      <c r="S87" s="235">
        <f t="shared" si="54"/>
        <v>0</v>
      </c>
      <c r="T87" s="235">
        <f t="shared" si="34"/>
        <v>0</v>
      </c>
      <c r="U87" s="235">
        <f t="shared" si="35"/>
        <v>0</v>
      </c>
      <c r="V87" s="228"/>
      <c r="W87" s="235">
        <v>0</v>
      </c>
      <c r="X87" s="235">
        <v>0</v>
      </c>
      <c r="Y87" s="235">
        <f t="shared" si="44"/>
        <v>0</v>
      </c>
      <c r="Z87" s="235">
        <f t="shared" si="36"/>
        <v>0</v>
      </c>
      <c r="AA87" s="235">
        <f t="shared" si="37"/>
        <v>0</v>
      </c>
      <c r="AB87" s="235">
        <f t="shared" si="38"/>
        <v>0</v>
      </c>
      <c r="AC87" s="235">
        <f t="shared" si="45"/>
        <v>0</v>
      </c>
      <c r="AD87" s="235">
        <f t="shared" si="55"/>
        <v>0</v>
      </c>
      <c r="AE87" s="228"/>
      <c r="AF87" s="237">
        <f t="shared" si="49"/>
        <v>83</v>
      </c>
      <c r="AG87" s="247">
        <f t="shared" si="56"/>
        <v>0</v>
      </c>
      <c r="AH87" s="247">
        <f t="shared" si="39"/>
        <v>0</v>
      </c>
      <c r="AI87" s="248">
        <f>IFERROR((1000*NPV($AF$2,$AH87:$AH$90)-$AI$2*($AG87+NPV($AF$2,$AG88:$AG$90)))/AG87,0)</f>
        <v>0</v>
      </c>
    </row>
    <row r="88" spans="4:35">
      <c r="D88" s="237">
        <f t="shared" si="47"/>
        <v>84</v>
      </c>
      <c r="E88" s="228"/>
      <c r="F88" s="228"/>
      <c r="G88" s="225">
        <v>28.75</v>
      </c>
      <c r="H88" s="224">
        <f t="shared" si="40"/>
        <v>2000000</v>
      </c>
      <c r="I88" s="226">
        <f t="shared" si="51"/>
        <v>0</v>
      </c>
      <c r="J88" s="241">
        <f t="shared" si="32"/>
        <v>0</v>
      </c>
      <c r="K88" s="226"/>
      <c r="L88" s="249">
        <v>1</v>
      </c>
      <c r="M88" s="243">
        <f t="shared" si="42"/>
        <v>1000</v>
      </c>
      <c r="N88" s="245">
        <f t="shared" si="52"/>
        <v>0</v>
      </c>
      <c r="O88" s="245">
        <f t="shared" si="33"/>
        <v>0</v>
      </c>
      <c r="P88" s="246">
        <f t="shared" si="43"/>
        <v>0</v>
      </c>
      <c r="Q88" s="228"/>
      <c r="R88" s="235">
        <f t="shared" si="53"/>
        <v>0</v>
      </c>
      <c r="S88" s="235">
        <f t="shared" si="54"/>
        <v>0</v>
      </c>
      <c r="T88" s="235">
        <f t="shared" si="34"/>
        <v>0</v>
      </c>
      <c r="U88" s="235">
        <f t="shared" si="35"/>
        <v>0</v>
      </c>
      <c r="V88" s="228"/>
      <c r="W88" s="235">
        <v>0</v>
      </c>
      <c r="X88" s="235">
        <v>0</v>
      </c>
      <c r="Y88" s="235">
        <f t="shared" si="44"/>
        <v>0</v>
      </c>
      <c r="Z88" s="235">
        <f t="shared" si="36"/>
        <v>0</v>
      </c>
      <c r="AA88" s="235">
        <f t="shared" si="37"/>
        <v>0</v>
      </c>
      <c r="AB88" s="235">
        <f t="shared" si="38"/>
        <v>0</v>
      </c>
      <c r="AC88" s="235">
        <f t="shared" si="45"/>
        <v>0</v>
      </c>
      <c r="AD88" s="235">
        <f t="shared" si="55"/>
        <v>0</v>
      </c>
      <c r="AE88" s="228"/>
      <c r="AF88" s="237">
        <f t="shared" si="49"/>
        <v>84</v>
      </c>
      <c r="AG88" s="247">
        <f t="shared" si="56"/>
        <v>0</v>
      </c>
      <c r="AH88" s="247">
        <f t="shared" si="39"/>
        <v>0</v>
      </c>
      <c r="AI88" s="248">
        <f>IFERROR((1000*NPV($AF$2,$AH88:$AH$90)-$AI$2*($AG88+NPV($AF$2,$AG89:$AG$90)))/AG88,0)</f>
        <v>0</v>
      </c>
    </row>
    <row r="89" spans="4:35">
      <c r="D89" s="237">
        <f t="shared" si="47"/>
        <v>85</v>
      </c>
      <c r="E89" s="228"/>
      <c r="F89" s="228"/>
      <c r="G89" s="225">
        <v>28.75</v>
      </c>
      <c r="H89" s="224">
        <f t="shared" si="40"/>
        <v>2000000</v>
      </c>
      <c r="I89" s="226">
        <f t="shared" si="51"/>
        <v>0</v>
      </c>
      <c r="J89" s="241">
        <f t="shared" si="32"/>
        <v>0</v>
      </c>
      <c r="K89" s="226"/>
      <c r="L89" s="249">
        <v>1</v>
      </c>
      <c r="M89" s="243">
        <f t="shared" si="42"/>
        <v>1000</v>
      </c>
      <c r="N89" s="245">
        <f t="shared" si="52"/>
        <v>0</v>
      </c>
      <c r="O89" s="245">
        <f t="shared" si="33"/>
        <v>0</v>
      </c>
      <c r="P89" s="246">
        <f t="shared" si="43"/>
        <v>0</v>
      </c>
      <c r="Q89" s="228"/>
      <c r="R89" s="235">
        <f t="shared" si="53"/>
        <v>0</v>
      </c>
      <c r="S89" s="235">
        <f t="shared" si="54"/>
        <v>0</v>
      </c>
      <c r="T89" s="235">
        <f t="shared" si="34"/>
        <v>0</v>
      </c>
      <c r="U89" s="235">
        <f t="shared" si="35"/>
        <v>0</v>
      </c>
      <c r="V89" s="228"/>
      <c r="W89" s="235">
        <v>0</v>
      </c>
      <c r="X89" s="235">
        <v>0</v>
      </c>
      <c r="Y89" s="235">
        <f t="shared" si="44"/>
        <v>0</v>
      </c>
      <c r="Z89" s="235">
        <f t="shared" si="36"/>
        <v>0</v>
      </c>
      <c r="AA89" s="235">
        <f t="shared" si="37"/>
        <v>0</v>
      </c>
      <c r="AB89" s="235">
        <f t="shared" si="38"/>
        <v>0</v>
      </c>
      <c r="AC89" s="235">
        <f t="shared" si="45"/>
        <v>0</v>
      </c>
      <c r="AD89" s="235">
        <f t="shared" si="55"/>
        <v>0</v>
      </c>
      <c r="AE89" s="228"/>
      <c r="AF89" s="237">
        <f t="shared" si="49"/>
        <v>85</v>
      </c>
      <c r="AG89" s="247">
        <f t="shared" si="56"/>
        <v>0</v>
      </c>
      <c r="AH89" s="247">
        <f t="shared" si="39"/>
        <v>0</v>
      </c>
      <c r="AI89" s="248">
        <f>IFERROR((1000*NPV($AF$2,$AH89:$AH$90)-$AI$2*($AG89+NPV($AF$2,$AG90:$AG$90)))/AG89,0)</f>
        <v>0</v>
      </c>
    </row>
    <row r="90" spans="4:35">
      <c r="D90" s="237">
        <f t="shared" si="47"/>
        <v>86</v>
      </c>
      <c r="E90" s="228"/>
      <c r="F90" s="228"/>
      <c r="G90" s="225">
        <v>28.75</v>
      </c>
      <c r="H90" s="224">
        <f t="shared" si="40"/>
        <v>2000000</v>
      </c>
      <c r="I90" s="226">
        <f t="shared" si="51"/>
        <v>0</v>
      </c>
      <c r="J90" s="241">
        <f t="shared" si="32"/>
        <v>0</v>
      </c>
      <c r="K90" s="226"/>
      <c r="L90" s="249">
        <v>1</v>
      </c>
      <c r="M90" s="243">
        <f t="shared" si="42"/>
        <v>1000</v>
      </c>
      <c r="N90" s="245">
        <f t="shared" si="52"/>
        <v>0</v>
      </c>
      <c r="O90" s="245">
        <f t="shared" si="33"/>
        <v>0</v>
      </c>
      <c r="P90" s="246">
        <f t="shared" si="43"/>
        <v>0</v>
      </c>
      <c r="Q90" s="228"/>
      <c r="R90" s="235">
        <f t="shared" si="53"/>
        <v>0</v>
      </c>
      <c r="S90" s="235">
        <f t="shared" si="54"/>
        <v>0</v>
      </c>
      <c r="T90" s="235">
        <f t="shared" si="34"/>
        <v>0</v>
      </c>
      <c r="U90" s="235">
        <f t="shared" si="35"/>
        <v>0</v>
      </c>
      <c r="V90" s="228"/>
      <c r="W90" s="235">
        <v>0</v>
      </c>
      <c r="X90" s="235">
        <v>0</v>
      </c>
      <c r="Y90" s="235">
        <f t="shared" si="44"/>
        <v>0</v>
      </c>
      <c r="Z90" s="235">
        <f t="shared" si="36"/>
        <v>0</v>
      </c>
      <c r="AA90" s="235">
        <f t="shared" si="37"/>
        <v>0</v>
      </c>
      <c r="AB90" s="235">
        <f t="shared" si="38"/>
        <v>0</v>
      </c>
      <c r="AC90" s="235">
        <f t="shared" si="45"/>
        <v>0</v>
      </c>
      <c r="AD90" s="235">
        <f t="shared" si="55"/>
        <v>0</v>
      </c>
      <c r="AE90" s="228"/>
      <c r="AF90" s="237">
        <f t="shared" si="49"/>
        <v>86</v>
      </c>
      <c r="AG90" s="247">
        <f t="shared" si="56"/>
        <v>0</v>
      </c>
      <c r="AH90" s="247">
        <f t="shared" si="39"/>
        <v>0</v>
      </c>
      <c r="AI90" s="248">
        <f>IFERROR((1000*NPV($AF$2,$AH90:$AH$90)-$AI$2*($AG90+NPV($AF$2,$AG$90:$AG94)))/AG90,0)</f>
        <v>0</v>
      </c>
    </row>
    <row r="91" spans="4:35">
      <c r="D91" s="237">
        <f>D90+1</f>
        <v>87</v>
      </c>
      <c r="E91" s="228"/>
      <c r="F91" s="228"/>
      <c r="G91" s="225">
        <v>28.75</v>
      </c>
      <c r="H91" s="224">
        <f t="shared" si="40"/>
        <v>2000000</v>
      </c>
      <c r="I91" s="226">
        <f t="shared" ref="I91:I93" si="57">AI91</f>
        <v>0</v>
      </c>
      <c r="J91" s="241">
        <f t="shared" ref="J91:J93" si="58">H91*I91/1000</f>
        <v>0</v>
      </c>
      <c r="K91" s="226"/>
      <c r="L91" s="249">
        <v>1</v>
      </c>
      <c r="M91" s="243">
        <f t="shared" si="42"/>
        <v>1000</v>
      </c>
      <c r="N91" s="245">
        <f t="shared" ref="N91:N93" si="59">P90</f>
        <v>0</v>
      </c>
      <c r="O91" s="245">
        <f t="shared" ref="O91:O93" si="60">M91*N91/1000</f>
        <v>0</v>
      </c>
      <c r="P91" s="246">
        <f t="shared" ref="P91:P93" si="61">N91-O91</f>
        <v>0</v>
      </c>
      <c r="Q91" s="228"/>
      <c r="R91" s="235">
        <f t="shared" ref="R91:R93" si="62">T90</f>
        <v>0</v>
      </c>
      <c r="S91" s="235">
        <f t="shared" ref="S91:S93" si="63">U90</f>
        <v>0</v>
      </c>
      <c r="T91" s="235">
        <f t="shared" ref="T91:T93" si="64">J91*P91</f>
        <v>0</v>
      </c>
      <c r="U91" s="235">
        <f t="shared" ref="U91:U93" si="65">$B$15*H91*P91</f>
        <v>0</v>
      </c>
      <c r="V91" s="228"/>
      <c r="W91" s="235">
        <v>0</v>
      </c>
      <c r="X91" s="235">
        <v>0</v>
      </c>
      <c r="Y91" s="235">
        <f t="shared" ref="Y91:Y93" si="66">-$P91*G91</f>
        <v>0</v>
      </c>
      <c r="Z91" s="235">
        <f t="shared" ref="Z91:Z93" si="67">-H91*O91</f>
        <v>0</v>
      </c>
      <c r="AA91" s="235">
        <f t="shared" ref="AA91:AA93" si="68">SUM(W91:Z91)</f>
        <v>0</v>
      </c>
      <c r="AB91" s="235">
        <f t="shared" ref="AB91:AB93" si="69">R91-T91</f>
        <v>0</v>
      </c>
      <c r="AC91" s="235">
        <f t="shared" ref="AC91:AC93" si="70">$B$13*SUM(R91:S91,W91:X91)</f>
        <v>0</v>
      </c>
      <c r="AD91" s="235">
        <f t="shared" ref="AD91:AD93" si="71">SUM(AA91:AC91)</f>
        <v>0</v>
      </c>
      <c r="AE91" s="228"/>
      <c r="AF91" s="237">
        <f t="shared" si="49"/>
        <v>87</v>
      </c>
      <c r="AG91" s="247">
        <f t="shared" ref="AG91:AG93" si="72">AG90-AH90</f>
        <v>0</v>
      </c>
      <c r="AH91" s="247">
        <f t="shared" ref="AH91:AH93" si="73">M91*AG91/1000</f>
        <v>0</v>
      </c>
      <c r="AI91" s="248">
        <f>IFERROR((1000*NPV($AF$2,$AH$90:$AH91)-$AI$2*($AG91+NPV($AF$2,$AG$90:$AG95)))/AG91,0)</f>
        <v>0</v>
      </c>
    </row>
    <row r="92" spans="4:35">
      <c r="D92" s="237">
        <f>D91+1</f>
        <v>88</v>
      </c>
      <c r="E92" s="228"/>
      <c r="F92" s="228"/>
      <c r="G92" s="225">
        <v>28.75</v>
      </c>
      <c r="H92" s="224">
        <f t="shared" si="40"/>
        <v>2000000</v>
      </c>
      <c r="I92" s="226">
        <f t="shared" si="57"/>
        <v>0</v>
      </c>
      <c r="J92" s="241">
        <f t="shared" si="58"/>
        <v>0</v>
      </c>
      <c r="K92" s="226"/>
      <c r="L92" s="249">
        <v>1</v>
      </c>
      <c r="M92" s="243">
        <f t="shared" si="42"/>
        <v>1000</v>
      </c>
      <c r="N92" s="245">
        <f t="shared" si="59"/>
        <v>0</v>
      </c>
      <c r="O92" s="245">
        <f t="shared" si="60"/>
        <v>0</v>
      </c>
      <c r="P92" s="246">
        <f t="shared" si="61"/>
        <v>0</v>
      </c>
      <c r="Q92" s="228"/>
      <c r="R92" s="235">
        <f t="shared" si="62"/>
        <v>0</v>
      </c>
      <c r="S92" s="235">
        <f t="shared" si="63"/>
        <v>0</v>
      </c>
      <c r="T92" s="235">
        <f t="shared" si="64"/>
        <v>0</v>
      </c>
      <c r="U92" s="235">
        <f t="shared" si="65"/>
        <v>0</v>
      </c>
      <c r="V92" s="228"/>
      <c r="W92" s="235">
        <v>0</v>
      </c>
      <c r="X92" s="235">
        <v>0</v>
      </c>
      <c r="Y92" s="235">
        <f t="shared" si="66"/>
        <v>0</v>
      </c>
      <c r="Z92" s="235">
        <f t="shared" si="67"/>
        <v>0</v>
      </c>
      <c r="AA92" s="235">
        <f t="shared" si="68"/>
        <v>0</v>
      </c>
      <c r="AB92" s="235">
        <f t="shared" si="69"/>
        <v>0</v>
      </c>
      <c r="AC92" s="235">
        <f t="shared" si="70"/>
        <v>0</v>
      </c>
      <c r="AD92" s="235">
        <f t="shared" si="71"/>
        <v>0</v>
      </c>
      <c r="AE92" s="228"/>
      <c r="AF92" s="237">
        <f t="shared" si="49"/>
        <v>88</v>
      </c>
      <c r="AG92" s="247">
        <f t="shared" si="72"/>
        <v>0</v>
      </c>
      <c r="AH92" s="247">
        <f t="shared" si="73"/>
        <v>0</v>
      </c>
      <c r="AI92" s="248">
        <f>IFERROR((1000*NPV($AF$2,$AH$90:$AH92)-$AI$2*($AG92+NPV($AF$2,$AG$90:$AG96)))/AG92,0)</f>
        <v>0</v>
      </c>
    </row>
    <row r="93" spans="4:35">
      <c r="D93" s="237">
        <f>D92+1</f>
        <v>89</v>
      </c>
      <c r="E93" s="228"/>
      <c r="F93" s="228"/>
      <c r="G93" s="225">
        <v>28.75</v>
      </c>
      <c r="H93" s="224">
        <f t="shared" si="40"/>
        <v>2000000</v>
      </c>
      <c r="I93" s="226">
        <f t="shared" si="57"/>
        <v>0</v>
      </c>
      <c r="J93" s="241">
        <f t="shared" si="58"/>
        <v>0</v>
      </c>
      <c r="K93" s="226"/>
      <c r="L93" s="249">
        <v>1</v>
      </c>
      <c r="M93" s="243">
        <f t="shared" si="42"/>
        <v>1000</v>
      </c>
      <c r="N93" s="245">
        <f t="shared" si="59"/>
        <v>0</v>
      </c>
      <c r="O93" s="245">
        <f t="shared" si="60"/>
        <v>0</v>
      </c>
      <c r="P93" s="246">
        <f t="shared" si="61"/>
        <v>0</v>
      </c>
      <c r="Q93" s="228"/>
      <c r="R93" s="235">
        <f t="shared" si="62"/>
        <v>0</v>
      </c>
      <c r="S93" s="235">
        <f t="shared" si="63"/>
        <v>0</v>
      </c>
      <c r="T93" s="235">
        <f t="shared" si="64"/>
        <v>0</v>
      </c>
      <c r="U93" s="235">
        <f t="shared" si="65"/>
        <v>0</v>
      </c>
      <c r="V93" s="228"/>
      <c r="W93" s="235">
        <v>0</v>
      </c>
      <c r="X93" s="235">
        <v>0</v>
      </c>
      <c r="Y93" s="235">
        <f t="shared" si="66"/>
        <v>0</v>
      </c>
      <c r="Z93" s="235">
        <f t="shared" si="67"/>
        <v>0</v>
      </c>
      <c r="AA93" s="235">
        <f t="shared" si="68"/>
        <v>0</v>
      </c>
      <c r="AB93" s="235">
        <f t="shared" si="69"/>
        <v>0</v>
      </c>
      <c r="AC93" s="235">
        <f t="shared" si="70"/>
        <v>0</v>
      </c>
      <c r="AD93" s="235">
        <f t="shared" si="71"/>
        <v>0</v>
      </c>
      <c r="AE93" s="228"/>
      <c r="AF93" s="237">
        <f t="shared" si="49"/>
        <v>89</v>
      </c>
      <c r="AG93" s="247">
        <f t="shared" si="72"/>
        <v>0</v>
      </c>
      <c r="AH93" s="247">
        <f t="shared" si="73"/>
        <v>0</v>
      </c>
      <c r="AI93" s="248">
        <f>IFERROR((1000*NPV($AF$2,$AH$90:$AH93)-$AI$2*($AG93+NPV($AF$2,$AG$90:$AG97)))/AG93,0)</f>
        <v>0</v>
      </c>
    </row>
    <row r="94" spans="4:35">
      <c r="D94" s="237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8"/>
      <c r="P94" s="228"/>
      <c r="Q94" s="228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H94" s="228"/>
      <c r="AI94" s="228"/>
    </row>
    <row r="95" spans="4:35">
      <c r="D95" s="237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8"/>
      <c r="P95" s="228"/>
      <c r="Q95" s="228"/>
      <c r="R95" s="228"/>
      <c r="S95" s="228"/>
      <c r="T95" s="228"/>
      <c r="U95" s="228"/>
      <c r="V95" s="55" t="s">
        <v>153</v>
      </c>
      <c r="W95" s="56">
        <f>SUM(W5:W24)</f>
        <v>3489682026.3571844</v>
      </c>
      <c r="X95" s="56">
        <f t="shared" ref="X95:AD95" si="74">SUM(X5:X24)</f>
        <v>-174484101.31785923</v>
      </c>
      <c r="Y95" s="56">
        <f t="shared" si="74"/>
        <v>-10606386.696514789</v>
      </c>
      <c r="Z95" s="56">
        <f t="shared" si="74"/>
        <v>-2650159291.7974839</v>
      </c>
      <c r="AA95" s="56">
        <f t="shared" si="74"/>
        <v>654432246.54532647</v>
      </c>
      <c r="AB95" s="56">
        <f t="shared" si="74"/>
        <v>-6099638286.0508509</v>
      </c>
      <c r="AC95" s="56">
        <f t="shared" si="74"/>
        <v>2947032246.0153341</v>
      </c>
      <c r="AD95" s="56">
        <f t="shared" si="74"/>
        <v>-2498173793.4901896</v>
      </c>
      <c r="AE95" s="228"/>
      <c r="AF95" s="228"/>
      <c r="AG95" s="228"/>
      <c r="AH95" s="228"/>
      <c r="AI95" s="228"/>
    </row>
    <row r="96" spans="4:35">
      <c r="D96" s="237"/>
      <c r="E96" s="228"/>
      <c r="F96" s="228"/>
      <c r="G96" s="228"/>
      <c r="H96" s="228"/>
      <c r="I96" s="228"/>
      <c r="J96" s="228"/>
      <c r="K96" s="228"/>
      <c r="L96" s="228"/>
      <c r="M96" s="228"/>
      <c r="N96" s="228"/>
      <c r="O96" s="228"/>
      <c r="P96" s="228"/>
      <c r="Q96" s="228"/>
      <c r="R96" s="228"/>
      <c r="S96" s="228"/>
      <c r="T96" s="228"/>
      <c r="U96" s="228"/>
      <c r="V96" s="55" t="str">
        <f>"Present Value at "&amp;TEXT(B13,"0.00%")&amp;":"</f>
        <v>Present Value at 4.50%:</v>
      </c>
      <c r="W96" s="56">
        <f>W5+NPV($B$13,W6:W24)</f>
        <v>3489682026.3571844</v>
      </c>
      <c r="X96" s="56">
        <f t="shared" ref="X96:AD96" si="75">X5+NPV($B$13,X6:X24)</f>
        <v>-174484101.31785923</v>
      </c>
      <c r="Y96" s="56">
        <f t="shared" si="75"/>
        <v>-8943022.8522929251</v>
      </c>
      <c r="Z96" s="56">
        <f t="shared" si="75"/>
        <v>-1581431907.5930483</v>
      </c>
      <c r="AA96" s="56">
        <f t="shared" si="75"/>
        <v>1724822994.5939837</v>
      </c>
      <c r="AB96" s="56">
        <f t="shared" si="75"/>
        <v>-4272247041.7079301</v>
      </c>
      <c r="AC96" s="56">
        <f t="shared" si="75"/>
        <v>1735222538.4270437</v>
      </c>
      <c r="AD96" s="56">
        <f t="shared" si="75"/>
        <v>-812201508.68690395</v>
      </c>
      <c r="AE96" s="228"/>
      <c r="AF96" s="228"/>
      <c r="AG96" s="228"/>
      <c r="AH96" s="228"/>
      <c r="AI96" s="228"/>
    </row>
    <row r="97" spans="4:35">
      <c r="D97" s="228"/>
      <c r="E97" s="228"/>
      <c r="F97" s="228"/>
      <c r="G97" s="228"/>
      <c r="H97" s="228"/>
      <c r="I97" s="228"/>
      <c r="J97" s="228"/>
      <c r="K97" s="228"/>
      <c r="L97" s="228"/>
      <c r="M97" s="228"/>
      <c r="N97" s="228"/>
      <c r="O97" s="228"/>
      <c r="P97" s="228"/>
      <c r="Q97" s="228"/>
      <c r="R97" s="228"/>
      <c r="S97" s="228"/>
      <c r="T97" s="228"/>
      <c r="U97" s="228"/>
      <c r="V97" s="55" t="str">
        <f>"Present Value at "&amp;TEXT(B14,"0.00%")&amp;":"</f>
        <v>Present Value at 10.83%:</v>
      </c>
      <c r="W97" s="97">
        <f>W5+NPV($B$14,W6:W24)</f>
        <v>3489682026.3571844</v>
      </c>
      <c r="X97" s="56">
        <f>X5+NPV($B$14,X6:X24)</f>
        <v>-174484101.31785923</v>
      </c>
      <c r="Y97" s="56">
        <f t="shared" ref="Y97:AB97" si="76">Y5+NPV($B$14,Y6:Y24)</f>
        <v>-7719275.5727221901</v>
      </c>
      <c r="Z97" s="56">
        <f t="shared" si="76"/>
        <v>-874224149.22836912</v>
      </c>
      <c r="AA97" s="56">
        <f t="shared" si="76"/>
        <v>2433254500.238234</v>
      </c>
      <c r="AB97" s="56">
        <f t="shared" si="76"/>
        <v>-2925813244.2975321</v>
      </c>
      <c r="AC97" s="56">
        <f>AC5+NPV($B$14,AC6:AC24)</f>
        <v>923793015.12635696</v>
      </c>
      <c r="AD97" s="97">
        <f>AD5+NPV($B$14,AD6:AD24)</f>
        <v>431234271.06705904</v>
      </c>
      <c r="AE97" s="228"/>
      <c r="AF97" s="228"/>
      <c r="AG97" s="228"/>
      <c r="AH97" s="228"/>
      <c r="AI97" s="228"/>
    </row>
  </sheetData>
  <mergeCells count="5">
    <mergeCell ref="R3:U3"/>
    <mergeCell ref="A1:XFD1"/>
    <mergeCell ref="W2:AD2"/>
    <mergeCell ref="D3:J3"/>
    <mergeCell ref="L3:P3"/>
  </mergeCells>
  <hyperlinks>
    <hyperlink ref="A1" location="Contents!A1" display="Back to Contents" xr:uid="{21FECFCB-19CC-CF42-ACE5-ECD51262F37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DECA6-3671-3742-B06F-F3DCDA1F403D}">
  <sheetPr codeName="Sheet9">
    <tabColor theme="4"/>
  </sheetPr>
  <dimension ref="A1:R87"/>
  <sheetViews>
    <sheetView showGridLines="0" topLeftCell="A49" zoomScale="80" zoomScaleNormal="80" workbookViewId="0">
      <selection activeCell="H90" sqref="H90"/>
    </sheetView>
  </sheetViews>
  <sheetFormatPr defaultColWidth="11" defaultRowHeight="15.75"/>
  <cols>
    <col min="1" max="1" width="14" bestFit="1" customWidth="1"/>
    <col min="4" max="4" width="12.5" bestFit="1" customWidth="1"/>
    <col min="5" max="5" width="10.375" bestFit="1" customWidth="1"/>
    <col min="6" max="6" width="14.5" customWidth="1"/>
    <col min="7" max="7" width="18.875" customWidth="1"/>
    <col min="8" max="8" width="14.5" bestFit="1" customWidth="1"/>
    <col min="9" max="10" width="18.125" bestFit="1" customWidth="1"/>
    <col min="11" max="11" width="12.625" customWidth="1"/>
    <col min="12" max="13" width="16.625" bestFit="1" customWidth="1"/>
    <col min="14" max="14" width="15" bestFit="1" customWidth="1"/>
    <col min="15" max="15" width="14" bestFit="1" customWidth="1"/>
    <col min="16" max="16" width="18.125" bestFit="1" customWidth="1"/>
  </cols>
  <sheetData>
    <row r="1" spans="1:18" s="259" customFormat="1">
      <c r="A1" s="259" t="s">
        <v>8</v>
      </c>
    </row>
    <row r="2" spans="1:18" ht="24">
      <c r="A2" s="3" t="s">
        <v>144</v>
      </c>
    </row>
    <row r="4" spans="1:18">
      <c r="A4" s="282" t="s">
        <v>164</v>
      </c>
      <c r="B4" s="283"/>
      <c r="C4" s="283"/>
      <c r="D4" s="283"/>
      <c r="E4" s="273" t="s">
        <v>40</v>
      </c>
      <c r="F4" s="274"/>
      <c r="G4" s="274"/>
      <c r="H4" s="274"/>
      <c r="I4" s="274"/>
      <c r="J4" s="275"/>
      <c r="K4" s="174" t="s">
        <v>165</v>
      </c>
      <c r="L4" s="174"/>
      <c r="M4" s="174"/>
      <c r="N4" s="174"/>
      <c r="O4" s="174"/>
      <c r="P4" s="175"/>
    </row>
    <row r="5" spans="1:18">
      <c r="A5" s="79" t="s">
        <v>166</v>
      </c>
      <c r="B5" s="80" t="s">
        <v>167</v>
      </c>
      <c r="C5" s="80" t="s">
        <v>168</v>
      </c>
      <c r="D5" s="88" t="s">
        <v>108</v>
      </c>
      <c r="E5" s="152" t="s">
        <v>169</v>
      </c>
      <c r="F5" s="153" t="s">
        <v>105</v>
      </c>
      <c r="G5" s="153" t="s">
        <v>170</v>
      </c>
      <c r="H5" s="153" t="s">
        <v>171</v>
      </c>
      <c r="I5" s="153" t="s">
        <v>172</v>
      </c>
      <c r="J5" s="156" t="s">
        <v>173</v>
      </c>
      <c r="K5" s="152" t="s">
        <v>169</v>
      </c>
      <c r="L5" s="153" t="s">
        <v>105</v>
      </c>
      <c r="M5" s="153" t="s">
        <v>170</v>
      </c>
      <c r="N5" s="153" t="s">
        <v>171</v>
      </c>
      <c r="O5" s="153" t="s">
        <v>172</v>
      </c>
      <c r="P5" s="154" t="s">
        <v>173</v>
      </c>
    </row>
    <row r="6" spans="1:18">
      <c r="A6" s="99" t="s">
        <v>174</v>
      </c>
      <c r="B6" s="100" t="s">
        <v>175</v>
      </c>
      <c r="C6" s="100">
        <v>32</v>
      </c>
      <c r="D6" s="101">
        <v>50000</v>
      </c>
      <c r="E6" s="151">
        <v>3966</v>
      </c>
      <c r="F6" s="91">
        <v>236.45385225127487</v>
      </c>
      <c r="G6" s="89">
        <v>607757.6491048485</v>
      </c>
      <c r="H6" s="89">
        <v>8.0003299526449432</v>
      </c>
      <c r="I6" s="89">
        <v>-6814319.0927162562</v>
      </c>
      <c r="J6" s="163">
        <v>-92.554282125789172</v>
      </c>
      <c r="K6" s="142">
        <v>1</v>
      </c>
      <c r="L6" s="111">
        <v>7361.9476495284853</v>
      </c>
      <c r="M6" s="111">
        <v>58.843470798382441</v>
      </c>
      <c r="N6" s="111">
        <v>7.9999986241381835</v>
      </c>
      <c r="O6" s="111">
        <v>-1469.1369926824946</v>
      </c>
      <c r="P6" s="158">
        <v>-200.28121748983992</v>
      </c>
      <c r="R6" s="108"/>
    </row>
    <row r="7" spans="1:18">
      <c r="A7" s="99" t="s">
        <v>174</v>
      </c>
      <c r="B7" s="100" t="s">
        <v>175</v>
      </c>
      <c r="C7" s="102">
        <f>C6</f>
        <v>32</v>
      </c>
      <c r="D7" s="103">
        <v>100000</v>
      </c>
      <c r="E7" s="149">
        <v>3858</v>
      </c>
      <c r="F7" s="92">
        <v>472.90410796801626</v>
      </c>
      <c r="G7" s="90">
        <v>1182315.654823829</v>
      </c>
      <c r="H7" s="90">
        <v>7.999718390396926</v>
      </c>
      <c r="I7" s="90">
        <v>-7187880.9020192139</v>
      </c>
      <c r="J7" s="164">
        <v>-48.489397936744609</v>
      </c>
      <c r="K7" s="142">
        <v>1</v>
      </c>
      <c r="L7" s="110">
        <v>14723.895298352199</v>
      </c>
      <c r="M7" s="110">
        <v>117.68694092782425</v>
      </c>
      <c r="N7" s="110">
        <v>7.9999985790485688</v>
      </c>
      <c r="O7" s="110">
        <v>-1166.9250948645804</v>
      </c>
      <c r="P7" s="159">
        <v>-79.306447118048482</v>
      </c>
      <c r="R7" s="108"/>
    </row>
    <row r="8" spans="1:18">
      <c r="A8" s="99" t="s">
        <v>174</v>
      </c>
      <c r="B8" s="100" t="s">
        <v>175</v>
      </c>
      <c r="C8" s="102">
        <f t="shared" ref="C8:C11" si="0">C7</f>
        <v>32</v>
      </c>
      <c r="D8" s="103">
        <v>250000</v>
      </c>
      <c r="E8" s="149">
        <v>6706</v>
      </c>
      <c r="F8" s="92">
        <v>1182.2615375586722</v>
      </c>
      <c r="G8" s="90">
        <v>5137832.2559827436</v>
      </c>
      <c r="H8" s="90">
        <v>7.9998046117290098</v>
      </c>
      <c r="I8" s="90">
        <v>-1740926.9523113705</v>
      </c>
      <c r="J8" s="164">
        <v>-2.702618019209825</v>
      </c>
      <c r="K8" s="142">
        <v>1</v>
      </c>
      <c r="L8" s="110">
        <v>36809.73827101443</v>
      </c>
      <c r="M8" s="110">
        <v>294.21737617568215</v>
      </c>
      <c r="N8" s="110">
        <v>7.9999992222526108</v>
      </c>
      <c r="O8" s="110">
        <v>1546.4155664587379</v>
      </c>
      <c r="P8" s="159">
        <v>42.038936277869396</v>
      </c>
      <c r="R8" s="108"/>
    </row>
    <row r="9" spans="1:18">
      <c r="A9" s="99" t="s">
        <v>174</v>
      </c>
      <c r="B9" s="100" t="s">
        <v>175</v>
      </c>
      <c r="C9" s="102">
        <f t="shared" si="0"/>
        <v>32</v>
      </c>
      <c r="D9" s="103">
        <v>500000</v>
      </c>
      <c r="E9" s="149">
        <v>6139</v>
      </c>
      <c r="F9" s="92">
        <v>2364.5205386810135</v>
      </c>
      <c r="G9" s="90">
        <v>9406733.7553665489</v>
      </c>
      <c r="H9" s="90">
        <v>7.9997183509785632</v>
      </c>
      <c r="I9" s="90">
        <v>14812632.451123614</v>
      </c>
      <c r="J9" s="164">
        <v>12.55951161112657</v>
      </c>
      <c r="K9" s="142">
        <v>1</v>
      </c>
      <c r="L9" s="110">
        <v>73619.476491760986</v>
      </c>
      <c r="M9" s="110">
        <v>588.43470463912672</v>
      </c>
      <c r="N9" s="110">
        <v>7.9999985790486452</v>
      </c>
      <c r="O9" s="110">
        <v>6068.6499383672199</v>
      </c>
      <c r="P9" s="159">
        <v>82.4873965832263</v>
      </c>
      <c r="R9" s="108"/>
    </row>
    <row r="10" spans="1:18">
      <c r="A10" s="99" t="s">
        <v>174</v>
      </c>
      <c r="B10" s="100" t="s">
        <v>175</v>
      </c>
      <c r="C10" s="102">
        <f t="shared" si="0"/>
        <v>32</v>
      </c>
      <c r="D10" s="103">
        <v>1000000</v>
      </c>
      <c r="E10" s="149">
        <v>3192</v>
      </c>
      <c r="F10" s="92">
        <v>4729.0410769813652</v>
      </c>
      <c r="G10" s="90">
        <v>9782145.0139819384</v>
      </c>
      <c r="H10" s="90">
        <v>7.9997183445056601</v>
      </c>
      <c r="I10" s="90">
        <v>24763071.363525081</v>
      </c>
      <c r="J10" s="164">
        <v>20.19062530750692</v>
      </c>
      <c r="K10" s="142">
        <v>1</v>
      </c>
      <c r="L10" s="110">
        <v>147238.95298352197</v>
      </c>
      <c r="M10" s="110">
        <v>1176.8694092782534</v>
      </c>
      <c r="N10" s="110">
        <v>7.9999985790486452</v>
      </c>
      <c r="O10" s="110">
        <v>15113.118729906957</v>
      </c>
      <c r="P10" s="159">
        <v>102.71162704588556</v>
      </c>
      <c r="R10" s="108"/>
    </row>
    <row r="11" spans="1:18">
      <c r="A11" s="99" t="s">
        <v>174</v>
      </c>
      <c r="B11" s="100" t="s">
        <v>175</v>
      </c>
      <c r="C11" s="102">
        <f t="shared" si="0"/>
        <v>32</v>
      </c>
      <c r="D11" s="103">
        <v>2000000</v>
      </c>
      <c r="E11" s="149">
        <v>1320</v>
      </c>
      <c r="F11" s="92">
        <v>9458.0821539626704</v>
      </c>
      <c r="G11" s="90">
        <v>8090495.8762251027</v>
      </c>
      <c r="H11" s="90">
        <v>7.9997183445051565</v>
      </c>
      <c r="I11" s="90">
        <v>24351116.659936316</v>
      </c>
      <c r="J11" s="164">
        <v>24.006182158750807</v>
      </c>
      <c r="K11" s="142">
        <v>1</v>
      </c>
      <c r="L11" s="110">
        <v>294477.90596704395</v>
      </c>
      <c r="M11" s="110">
        <v>2353.7388185565069</v>
      </c>
      <c r="N11" s="110">
        <v>7.9999985790486452</v>
      </c>
      <c r="O11" s="110">
        <v>33202.056312986504</v>
      </c>
      <c r="P11" s="159">
        <v>112.82374227721543</v>
      </c>
      <c r="R11" s="108"/>
    </row>
    <row r="12" spans="1:18">
      <c r="A12" s="99" t="s">
        <v>174</v>
      </c>
      <c r="B12" s="100" t="s">
        <v>175</v>
      </c>
      <c r="C12" s="102">
        <v>42</v>
      </c>
      <c r="D12" s="103">
        <v>50000</v>
      </c>
      <c r="E12" s="149">
        <v>3196</v>
      </c>
      <c r="F12" s="92">
        <v>1083.115780041162</v>
      </c>
      <c r="G12" s="90">
        <v>2128512.3667707019</v>
      </c>
      <c r="H12" s="90">
        <v>7.9999951800265627</v>
      </c>
      <c r="I12" s="90">
        <v>11782074.293300424</v>
      </c>
      <c r="J12" s="164">
        <v>41.891058309273618</v>
      </c>
      <c r="K12" s="143">
        <v>1</v>
      </c>
      <c r="L12" s="110">
        <v>12536.303546451343</v>
      </c>
      <c r="M12" s="110">
        <v>99.980859760084059</v>
      </c>
      <c r="N12" s="110">
        <v>8.000008930919428</v>
      </c>
      <c r="O12" s="110">
        <v>2841.0047702560096</v>
      </c>
      <c r="P12" s="159">
        <v>226.77266235957464</v>
      </c>
      <c r="R12" s="108"/>
    </row>
    <row r="13" spans="1:18">
      <c r="A13" s="99" t="s">
        <v>174</v>
      </c>
      <c r="B13" s="100" t="s">
        <v>175</v>
      </c>
      <c r="C13" s="102">
        <f>C12</f>
        <v>42</v>
      </c>
      <c r="D13" s="103">
        <v>100000</v>
      </c>
      <c r="E13" s="149">
        <v>3128</v>
      </c>
      <c r="F13" s="92">
        <v>2166.224104042712</v>
      </c>
      <c r="G13" s="90">
        <v>4166292.2543903198</v>
      </c>
      <c r="H13" s="90">
        <v>7.9997203281699649</v>
      </c>
      <c r="I13" s="90">
        <v>5114846.6730818264</v>
      </c>
      <c r="J13" s="164">
        <v>9.6696343088044525</v>
      </c>
      <c r="K13" s="149">
        <v>605</v>
      </c>
      <c r="L13" s="90">
        <v>25072.60681737362</v>
      </c>
      <c r="M13" s="90">
        <v>120976.68243836239</v>
      </c>
      <c r="N13" s="90">
        <v>7.999998579049036</v>
      </c>
      <c r="O13" s="90">
        <v>196437.25486362725</v>
      </c>
      <c r="P13" s="160">
        <v>12.980036987048111</v>
      </c>
      <c r="R13" s="108"/>
    </row>
    <row r="14" spans="1:18">
      <c r="A14" s="99" t="s">
        <v>174</v>
      </c>
      <c r="B14" s="100" t="s">
        <v>175</v>
      </c>
      <c r="C14" s="102">
        <f t="shared" ref="C14:C17" si="1">C13</f>
        <v>42</v>
      </c>
      <c r="D14" s="103">
        <v>250000</v>
      </c>
      <c r="E14" s="149">
        <v>3574</v>
      </c>
      <c r="F14" s="92">
        <v>5415.5660684500272</v>
      </c>
      <c r="G14" s="90">
        <v>11900978.184265587</v>
      </c>
      <c r="H14" s="90">
        <v>7.9998059735147233</v>
      </c>
      <c r="I14" s="90">
        <v>30256294.60783023</v>
      </c>
      <c r="J14" s="164">
        <v>20.024648089309252</v>
      </c>
      <c r="K14" s="149">
        <v>661</v>
      </c>
      <c r="L14" s="90">
        <v>62681.517086233369</v>
      </c>
      <c r="M14" s="90">
        <v>330436.33708936721</v>
      </c>
      <c r="N14" s="90">
        <v>7.9999992222524359</v>
      </c>
      <c r="O14" s="90">
        <v>3471355.695167724</v>
      </c>
      <c r="P14" s="160">
        <v>83.977916601643415</v>
      </c>
      <c r="R14" s="108"/>
    </row>
    <row r="15" spans="1:18">
      <c r="A15" s="99" t="s">
        <v>174</v>
      </c>
      <c r="B15" s="100" t="s">
        <v>175</v>
      </c>
      <c r="C15" s="102">
        <f t="shared" si="1"/>
        <v>42</v>
      </c>
      <c r="D15" s="103">
        <v>500000</v>
      </c>
      <c r="E15" s="149">
        <v>3213</v>
      </c>
      <c r="F15" s="92">
        <v>10831.120518287864</v>
      </c>
      <c r="G15" s="90">
        <v>21397533.547344785</v>
      </c>
      <c r="H15" s="90">
        <v>7.9997203139725288</v>
      </c>
      <c r="I15" s="90">
        <v>63777099.536060065</v>
      </c>
      <c r="J15" s="164">
        <v>23.476222100944408</v>
      </c>
      <c r="K15" s="149">
        <v>456</v>
      </c>
      <c r="L15" s="90">
        <v>125363.03408686808</v>
      </c>
      <c r="M15" s="90">
        <v>455912.12555281073</v>
      </c>
      <c r="N15" s="90">
        <v>7.9999985790485795</v>
      </c>
      <c r="O15" s="90">
        <v>6139269.8734486327</v>
      </c>
      <c r="P15" s="160">
        <v>107.64387568474164</v>
      </c>
      <c r="R15" s="108"/>
    </row>
    <row r="16" spans="1:18">
      <c r="A16" s="99" t="s">
        <v>174</v>
      </c>
      <c r="B16" s="100" t="s">
        <v>175</v>
      </c>
      <c r="C16" s="102">
        <f t="shared" si="1"/>
        <v>42</v>
      </c>
      <c r="D16" s="103">
        <v>1000000</v>
      </c>
      <c r="E16" s="149">
        <v>2035</v>
      </c>
      <c r="F16" s="92">
        <v>21662.241034832037</v>
      </c>
      <c r="G16" s="90">
        <v>27104874.404204108</v>
      </c>
      <c r="H16" s="90">
        <v>7.9997203075447345</v>
      </c>
      <c r="I16" s="90">
        <v>86727340.925183833</v>
      </c>
      <c r="J16" s="164">
        <v>25.202045571646615</v>
      </c>
      <c r="K16" s="149">
        <v>179</v>
      </c>
      <c r="L16" s="90">
        <v>250726.06817373607</v>
      </c>
      <c r="M16" s="90">
        <v>357931.01085066795</v>
      </c>
      <c r="N16" s="90">
        <v>7.9999985790485013</v>
      </c>
      <c r="O16" s="90">
        <v>5349699.2406581715</v>
      </c>
      <c r="P16" s="160">
        <v>119.47685552195281</v>
      </c>
      <c r="R16" s="108"/>
    </row>
    <row r="17" spans="1:18">
      <c r="A17" s="99" t="s">
        <v>174</v>
      </c>
      <c r="B17" s="100" t="s">
        <v>175</v>
      </c>
      <c r="C17" s="102">
        <f t="shared" si="1"/>
        <v>42</v>
      </c>
      <c r="D17" s="103">
        <v>2000000</v>
      </c>
      <c r="E17" s="149">
        <v>887</v>
      </c>
      <c r="F17" s="92">
        <v>43324.482069663813</v>
      </c>
      <c r="G17" s="90">
        <v>23628524.419191591</v>
      </c>
      <c r="H17" s="90">
        <v>7.9997203075442531</v>
      </c>
      <c r="I17" s="90">
        <v>78192744.793088302</v>
      </c>
      <c r="J17" s="164">
        <v>26.064957309595087</v>
      </c>
      <c r="K17" s="149">
        <v>71</v>
      </c>
      <c r="L17" s="90">
        <v>501452.13634747214</v>
      </c>
      <c r="M17" s="90">
        <v>283945.27117761597</v>
      </c>
      <c r="N17" s="90">
        <v>7.99999857904825</v>
      </c>
      <c r="O17" s="90">
        <v>4454053.0506141596</v>
      </c>
      <c r="P17" s="160">
        <v>125.3933454405586</v>
      </c>
      <c r="R17" s="108"/>
    </row>
    <row r="18" spans="1:18">
      <c r="A18" s="99" t="s">
        <v>174</v>
      </c>
      <c r="B18" s="100" t="s">
        <v>175</v>
      </c>
      <c r="C18" s="102">
        <v>52</v>
      </c>
      <c r="D18" s="103">
        <v>50000</v>
      </c>
      <c r="E18" s="149">
        <v>2312</v>
      </c>
      <c r="F18" s="92">
        <v>3205.2033934303199</v>
      </c>
      <c r="G18" s="90">
        <v>3845725.5504322248</v>
      </c>
      <c r="H18" s="90">
        <v>8.0009480956876349</v>
      </c>
      <c r="I18" s="90">
        <v>32228931.818527922</v>
      </c>
      <c r="J18" s="164">
        <v>55.712166456817179</v>
      </c>
      <c r="K18" s="142">
        <v>1</v>
      </c>
      <c r="L18" s="110">
        <v>20760.689885363379</v>
      </c>
      <c r="M18" s="110">
        <v>162.82761605914857</v>
      </c>
      <c r="N18" s="110">
        <v>8.000127842788018</v>
      </c>
      <c r="O18" s="110">
        <v>6477.4348249857303</v>
      </c>
      <c r="P18" s="159">
        <v>312.72903819367093</v>
      </c>
      <c r="R18" s="108"/>
    </row>
    <row r="19" spans="1:18">
      <c r="A19" s="99" t="s">
        <v>174</v>
      </c>
      <c r="B19" s="100" t="s">
        <v>175</v>
      </c>
      <c r="C19" s="102">
        <f>C18</f>
        <v>52</v>
      </c>
      <c r="D19" s="103">
        <v>100000</v>
      </c>
      <c r="E19" s="149">
        <v>2322</v>
      </c>
      <c r="F19" s="92">
        <v>6410.3063901658643</v>
      </c>
      <c r="G19" s="90">
        <v>7723418.7282771915</v>
      </c>
      <c r="H19" s="90">
        <v>7.9997270057534582</v>
      </c>
      <c r="I19" s="90">
        <v>20188610.550075781</v>
      </c>
      <c r="J19" s="164">
        <v>19.818361601655678</v>
      </c>
      <c r="K19" s="149">
        <v>433</v>
      </c>
      <c r="L19" s="90">
        <v>41521.374073053157</v>
      </c>
      <c r="M19" s="90">
        <v>141006.417780241</v>
      </c>
      <c r="N19" s="90">
        <v>7.9999985790552719</v>
      </c>
      <c r="O19" s="90">
        <v>1133945.9415541273</v>
      </c>
      <c r="P19" s="160">
        <v>64.01395531365543</v>
      </c>
      <c r="R19" s="108"/>
    </row>
    <row r="20" spans="1:18">
      <c r="A20" s="99" t="s">
        <v>174</v>
      </c>
      <c r="B20" s="100" t="s">
        <v>175</v>
      </c>
      <c r="C20" s="102">
        <f t="shared" ref="C20:C23" si="2">C19</f>
        <v>52</v>
      </c>
      <c r="D20" s="103">
        <v>250000</v>
      </c>
      <c r="E20" s="149">
        <v>2342</v>
      </c>
      <c r="F20" s="92">
        <v>16025.783148814273</v>
      </c>
      <c r="G20" s="90">
        <v>19475080.709394924</v>
      </c>
      <c r="H20" s="90">
        <v>7.9998105565970663</v>
      </c>
      <c r="I20" s="90">
        <v>60943055.151438288</v>
      </c>
      <c r="J20" s="164">
        <v>23.725774077192792</v>
      </c>
      <c r="K20" s="149">
        <v>421</v>
      </c>
      <c r="L20" s="90">
        <v>103803.43525350982</v>
      </c>
      <c r="M20" s="90">
        <v>342746.57447364926</v>
      </c>
      <c r="N20" s="90">
        <v>7.9999992222523888</v>
      </c>
      <c r="O20" s="90">
        <v>4583841.9955080003</v>
      </c>
      <c r="P20" s="160">
        <v>106.45786250978736</v>
      </c>
      <c r="R20" s="108"/>
    </row>
    <row r="21" spans="1:18">
      <c r="A21" s="99" t="s">
        <v>174</v>
      </c>
      <c r="B21" s="100" t="s">
        <v>175</v>
      </c>
      <c r="C21" s="102">
        <f t="shared" si="2"/>
        <v>52</v>
      </c>
      <c r="D21" s="103">
        <v>500000</v>
      </c>
      <c r="E21" s="149">
        <v>2040</v>
      </c>
      <c r="F21" s="92">
        <v>32051.531915743824</v>
      </c>
      <c r="G21" s="90">
        <v>33927161.973174676</v>
      </c>
      <c r="H21" s="90">
        <v>7.9997269204055925</v>
      </c>
      <c r="I21" s="90">
        <v>111996763.86150891</v>
      </c>
      <c r="J21" s="164">
        <v>25.028155000948832</v>
      </c>
      <c r="K21" s="149">
        <v>355</v>
      </c>
      <c r="L21" s="90">
        <v>207606.87036526433</v>
      </c>
      <c r="M21" s="90">
        <v>578028.6179208234</v>
      </c>
      <c r="N21" s="90">
        <v>7.9999985790485759</v>
      </c>
      <c r="O21" s="90">
        <v>8757828.8632313311</v>
      </c>
      <c r="P21" s="160">
        <v>120.60583080719907</v>
      </c>
      <c r="R21" s="108"/>
    </row>
    <row r="22" spans="1:18">
      <c r="A22" s="99" t="s">
        <v>174</v>
      </c>
      <c r="B22" s="100" t="s">
        <v>175</v>
      </c>
      <c r="C22" s="102">
        <f t="shared" si="2"/>
        <v>52</v>
      </c>
      <c r="D22" s="103">
        <v>1000000</v>
      </c>
      <c r="E22" s="149">
        <v>1461</v>
      </c>
      <c r="F22" s="92">
        <v>64103.063826327707</v>
      </c>
      <c r="G22" s="90">
        <v>48595670.196011186</v>
      </c>
      <c r="H22" s="90">
        <v>7.9997269141296288</v>
      </c>
      <c r="I22" s="90">
        <v>164592939.80130127</v>
      </c>
      <c r="J22" s="164">
        <v>25.679379180094543</v>
      </c>
      <c r="K22" s="149">
        <v>418</v>
      </c>
      <c r="L22" s="90">
        <v>415213.74073052849</v>
      </c>
      <c r="M22" s="90">
        <v>1361216.6889628172</v>
      </c>
      <c r="N22" s="90">
        <v>7.9999985790484427</v>
      </c>
      <c r="O22" s="90">
        <v>21833749.315468803</v>
      </c>
      <c r="P22" s="160">
        <v>127.67981524389211</v>
      </c>
      <c r="R22" s="108"/>
    </row>
    <row r="23" spans="1:18">
      <c r="A23" s="99" t="s">
        <v>174</v>
      </c>
      <c r="B23" s="100" t="s">
        <v>175</v>
      </c>
      <c r="C23" s="102">
        <f t="shared" si="2"/>
        <v>52</v>
      </c>
      <c r="D23" s="103">
        <v>2000000</v>
      </c>
      <c r="E23" s="149">
        <v>692</v>
      </c>
      <c r="F23" s="92">
        <v>128206.12765265461</v>
      </c>
      <c r="G23" s="90">
        <v>46034502.088483959</v>
      </c>
      <c r="H23" s="90">
        <v>7.9997269141291545</v>
      </c>
      <c r="I23" s="90">
        <v>157895323.97527277</v>
      </c>
      <c r="J23" s="164">
        <v>26.004991272145052</v>
      </c>
      <c r="K23" s="149">
        <v>353</v>
      </c>
      <c r="L23" s="90">
        <v>830427.48146105732</v>
      </c>
      <c r="M23" s="90">
        <v>2299088.4746596813</v>
      </c>
      <c r="N23" s="90">
        <v>7.9999985790484232</v>
      </c>
      <c r="O23" s="90">
        <v>37898669.224566907</v>
      </c>
      <c r="P23" s="160">
        <v>131.21680746223939</v>
      </c>
      <c r="R23" s="108"/>
    </row>
    <row r="24" spans="1:18">
      <c r="A24" s="99" t="s">
        <v>174</v>
      </c>
      <c r="B24" s="100" t="s">
        <v>175</v>
      </c>
      <c r="C24" s="102">
        <v>62</v>
      </c>
      <c r="D24" s="103">
        <v>50000</v>
      </c>
      <c r="E24" s="144">
        <v>1</v>
      </c>
      <c r="F24" s="150">
        <v>6872.2207515865985</v>
      </c>
      <c r="G24" s="110">
        <v>2717.350104126851</v>
      </c>
      <c r="H24" s="110">
        <v>8.0001160852046329</v>
      </c>
      <c r="I24" s="110">
        <v>24652.206321799196</v>
      </c>
      <c r="J24" s="165">
        <v>52.415654522101072</v>
      </c>
      <c r="K24" s="142">
        <v>1</v>
      </c>
      <c r="L24" s="110">
        <v>30394.709501569025</v>
      </c>
      <c r="M24" s="110">
        <v>227.88821790440852</v>
      </c>
      <c r="N24" s="110">
        <v>8.0000344173330937</v>
      </c>
      <c r="O24" s="110">
        <v>8879.9879523273303</v>
      </c>
      <c r="P24" s="159">
        <v>296.52157931127795</v>
      </c>
      <c r="R24" s="108"/>
    </row>
    <row r="25" spans="1:18">
      <c r="A25" s="99" t="s">
        <v>174</v>
      </c>
      <c r="B25" s="100" t="s">
        <v>175</v>
      </c>
      <c r="C25" s="102">
        <f>C24</f>
        <v>62</v>
      </c>
      <c r="D25" s="103">
        <v>100000</v>
      </c>
      <c r="E25" s="142">
        <v>1</v>
      </c>
      <c r="F25" s="150">
        <v>13744.371976201797</v>
      </c>
      <c r="G25" s="110">
        <v>5434.4164059767718</v>
      </c>
      <c r="H25" s="110">
        <v>7.9997387829512183</v>
      </c>
      <c r="I25" s="110">
        <v>17886.621684124162</v>
      </c>
      <c r="J25" s="165">
        <v>23.560607686507275</v>
      </c>
      <c r="K25" s="149">
        <v>1116</v>
      </c>
      <c r="L25" s="90">
        <v>60789.41669041157</v>
      </c>
      <c r="M25" s="90">
        <v>508644.20439399034</v>
      </c>
      <c r="N25" s="90">
        <v>7.9999985790504251</v>
      </c>
      <c r="O25" s="90">
        <v>5508338.2701488063</v>
      </c>
      <c r="P25" s="160">
        <v>85.208181519710919</v>
      </c>
      <c r="R25" s="108"/>
    </row>
    <row r="26" spans="1:18">
      <c r="A26" s="99" t="s">
        <v>174</v>
      </c>
      <c r="B26" s="100" t="s">
        <v>175</v>
      </c>
      <c r="C26" s="102">
        <f t="shared" ref="C26:C29" si="3">C25</f>
        <v>62</v>
      </c>
      <c r="D26" s="103">
        <v>250000</v>
      </c>
      <c r="E26" s="142">
        <v>1</v>
      </c>
      <c r="F26" s="150">
        <v>34360.966789416365</v>
      </c>
      <c r="G26" s="110">
        <v>13586.191428585436</v>
      </c>
      <c r="H26" s="110">
        <v>7.9998187705164687</v>
      </c>
      <c r="I26" s="110">
        <v>48812.976979284671</v>
      </c>
      <c r="J26" s="165">
        <v>25.718935360614363</v>
      </c>
      <c r="K26" s="149">
        <v>1060</v>
      </c>
      <c r="L26" s="90">
        <v>151973.54182979718</v>
      </c>
      <c r="M26" s="90">
        <v>1207802.1961797178</v>
      </c>
      <c r="N26" s="90">
        <v>7.9999992222526783</v>
      </c>
      <c r="O26" s="90">
        <v>17473745.195238575</v>
      </c>
      <c r="P26" s="160">
        <v>113.83216949656678</v>
      </c>
      <c r="R26" s="108"/>
    </row>
    <row r="27" spans="1:18">
      <c r="A27" s="99" t="s">
        <v>174</v>
      </c>
      <c r="B27" s="100" t="s">
        <v>175</v>
      </c>
      <c r="C27" s="102">
        <f t="shared" si="3"/>
        <v>62</v>
      </c>
      <c r="D27" s="103">
        <v>500000</v>
      </c>
      <c r="E27" s="142">
        <v>1</v>
      </c>
      <c r="F27" s="150">
        <v>68721.859860454089</v>
      </c>
      <c r="G27" s="110">
        <v>27172.081945980768</v>
      </c>
      <c r="H27" s="110">
        <v>7.9997387606420363</v>
      </c>
      <c r="I27" s="110">
        <v>100356.44596865651</v>
      </c>
      <c r="J27" s="165">
        <v>26.438294438636756</v>
      </c>
      <c r="K27" s="149">
        <v>1007</v>
      </c>
      <c r="L27" s="90">
        <v>303947.08345205727</v>
      </c>
      <c r="M27" s="90">
        <v>2294823.9866695106</v>
      </c>
      <c r="N27" s="90">
        <v>7.9999985790486683</v>
      </c>
      <c r="O27" s="90">
        <v>35982925.093547523</v>
      </c>
      <c r="P27" s="160">
        <v>123.3734980609314</v>
      </c>
      <c r="R27" s="108"/>
    </row>
    <row r="28" spans="1:18">
      <c r="A28" s="99" t="s">
        <v>174</v>
      </c>
      <c r="B28" s="100" t="s">
        <v>175</v>
      </c>
      <c r="C28" s="102">
        <f t="shared" si="3"/>
        <v>62</v>
      </c>
      <c r="D28" s="103">
        <v>1000000</v>
      </c>
      <c r="E28" s="142">
        <v>1</v>
      </c>
      <c r="F28" s="150">
        <v>137443.71970984468</v>
      </c>
      <c r="G28" s="110">
        <v>54344.163846801399</v>
      </c>
      <c r="H28" s="110">
        <v>7.9997387546381722</v>
      </c>
      <c r="I28" s="110">
        <v>203443.72629680322</v>
      </c>
      <c r="J28" s="165">
        <v>26.798005280304338</v>
      </c>
      <c r="K28" s="149">
        <v>984</v>
      </c>
      <c r="L28" s="90">
        <v>607894.1669041143</v>
      </c>
      <c r="M28" s="90">
        <v>4484819.8666986227</v>
      </c>
      <c r="N28" s="90">
        <v>7.9999985790485217</v>
      </c>
      <c r="O28" s="90">
        <v>73041391.30615294</v>
      </c>
      <c r="P28" s="160">
        <v>128.14416262858381</v>
      </c>
      <c r="R28" s="108"/>
    </row>
    <row r="29" spans="1:18">
      <c r="A29" s="99" t="s">
        <v>174</v>
      </c>
      <c r="B29" s="100" t="s">
        <v>175</v>
      </c>
      <c r="C29" s="102">
        <f t="shared" si="3"/>
        <v>62</v>
      </c>
      <c r="D29" s="103">
        <v>2000000</v>
      </c>
      <c r="E29" s="143">
        <v>1</v>
      </c>
      <c r="F29" s="150">
        <v>274887.43941968773</v>
      </c>
      <c r="G29" s="110">
        <v>108688.32769359622</v>
      </c>
      <c r="H29" s="110">
        <v>7.9997387546377334</v>
      </c>
      <c r="I29" s="110">
        <v>409618.2870044756</v>
      </c>
      <c r="J29" s="165">
        <v>26.977860703458077</v>
      </c>
      <c r="K29" s="149">
        <v>938</v>
      </c>
      <c r="L29" s="90">
        <v>1215788.3338082288</v>
      </c>
      <c r="M29" s="90">
        <v>8550327.306836009</v>
      </c>
      <c r="N29" s="90">
        <v>7.999998579048536</v>
      </c>
      <c r="O29" s="90">
        <v>141845839.75744545</v>
      </c>
      <c r="P29" s="160">
        <v>130.52949491240983</v>
      </c>
      <c r="R29" s="108"/>
    </row>
    <row r="30" spans="1:18">
      <c r="A30" s="104" t="s">
        <v>139</v>
      </c>
      <c r="B30" s="102" t="s">
        <v>176</v>
      </c>
      <c r="C30" s="102">
        <v>32</v>
      </c>
      <c r="D30" s="103">
        <v>50000</v>
      </c>
      <c r="E30" s="149">
        <v>12648</v>
      </c>
      <c r="F30" s="92">
        <v>111.05501614218019</v>
      </c>
      <c r="G30" s="90">
        <v>907131.16502866475</v>
      </c>
      <c r="H30" s="90">
        <v>8.0003626276102349</v>
      </c>
      <c r="I30" s="90">
        <v>409618.2870044756</v>
      </c>
      <c r="J30" s="164">
        <v>26.977860703458077</v>
      </c>
      <c r="K30" s="144">
        <v>1</v>
      </c>
      <c r="L30" s="110">
        <v>3080.5430442932343</v>
      </c>
      <c r="M30" s="110">
        <v>24.616548702094178</v>
      </c>
      <c r="N30" s="110">
        <v>8.0000472653655006</v>
      </c>
      <c r="O30" s="110">
        <v>141845839.75744545</v>
      </c>
      <c r="P30" s="159">
        <v>130.52949491240983</v>
      </c>
      <c r="R30" s="108"/>
    </row>
    <row r="31" spans="1:18">
      <c r="A31" s="104" t="s">
        <v>139</v>
      </c>
      <c r="B31" s="102" t="s">
        <v>176</v>
      </c>
      <c r="C31" s="102">
        <f>C30</f>
        <v>32</v>
      </c>
      <c r="D31" s="103">
        <v>100000</v>
      </c>
      <c r="E31" s="149">
        <v>12087</v>
      </c>
      <c r="F31" s="92">
        <v>222.10825253254737</v>
      </c>
      <c r="G31" s="90">
        <v>1733637.5306337904</v>
      </c>
      <c r="H31" s="90">
        <v>7.9997184849281417</v>
      </c>
      <c r="I31" s="90">
        <v>-6586765.5865250472</v>
      </c>
      <c r="J31" s="164">
        <v>-57.95355249390267</v>
      </c>
      <c r="K31" s="142">
        <v>1</v>
      </c>
      <c r="L31" s="110">
        <v>6161.0857701569839</v>
      </c>
      <c r="M31" s="110">
        <v>49.232795239153802</v>
      </c>
      <c r="N31" s="110">
        <v>7.9999985790510744</v>
      </c>
      <c r="O31" s="110">
        <v>-404.22800034497868</v>
      </c>
      <c r="P31" s="159">
        <v>-131.33139648659454</v>
      </c>
      <c r="R31" s="108"/>
    </row>
    <row r="32" spans="1:18">
      <c r="A32" s="104" t="s">
        <v>139</v>
      </c>
      <c r="B32" s="102" t="s">
        <v>176</v>
      </c>
      <c r="C32" s="102">
        <f t="shared" ref="C32:C35" si="4">C31</f>
        <v>32</v>
      </c>
      <c r="D32" s="103">
        <v>250000</v>
      </c>
      <c r="E32" s="149">
        <v>19967</v>
      </c>
      <c r="F32" s="92">
        <v>555.27122668455411</v>
      </c>
      <c r="G32" s="90">
        <v>7159748.2096690573</v>
      </c>
      <c r="H32" s="90">
        <v>7.9998046756108536</v>
      </c>
      <c r="I32" s="90">
        <v>-3242903.230896851</v>
      </c>
      <c r="J32" s="164">
        <v>-14.928585633051117</v>
      </c>
      <c r="K32" s="142">
        <v>1</v>
      </c>
      <c r="L32" s="110">
        <v>15402.714435909498</v>
      </c>
      <c r="M32" s="110">
        <v>123.08199807774326</v>
      </c>
      <c r="N32" s="110">
        <v>7.999999222252649</v>
      </c>
      <c r="O32" s="110">
        <v>-8.0691654334909799</v>
      </c>
      <c r="P32" s="159">
        <v>-1.3108132275951214</v>
      </c>
      <c r="R32" s="108"/>
    </row>
    <row r="33" spans="1:18">
      <c r="A33" s="104" t="s">
        <v>139</v>
      </c>
      <c r="B33" s="102" t="s">
        <v>176</v>
      </c>
      <c r="C33" s="102">
        <f t="shared" si="4"/>
        <v>32</v>
      </c>
      <c r="D33" s="103">
        <v>500000</v>
      </c>
      <c r="E33" s="149">
        <v>20061</v>
      </c>
      <c r="F33" s="92">
        <v>1110.5412620843792</v>
      </c>
      <c r="G33" s="90">
        <v>14386738.769721568</v>
      </c>
      <c r="H33" s="90">
        <v>7.9997184430629948</v>
      </c>
      <c r="I33" s="90">
        <v>9767098.1193298288</v>
      </c>
      <c r="J33" s="164">
        <v>10.887181290500326</v>
      </c>
      <c r="K33" s="142">
        <v>1</v>
      </c>
      <c r="L33" s="110">
        <v>30805.428850784843</v>
      </c>
      <c r="M33" s="110">
        <v>246.16397619569398</v>
      </c>
      <c r="N33" s="110">
        <v>7.9999985790486559</v>
      </c>
      <c r="O33" s="110">
        <v>1180.4078026598308</v>
      </c>
      <c r="P33" s="159">
        <v>76.701570856607887</v>
      </c>
      <c r="R33" s="108"/>
    </row>
    <row r="34" spans="1:18">
      <c r="A34" s="104" t="s">
        <v>139</v>
      </c>
      <c r="B34" s="102" t="s">
        <v>176</v>
      </c>
      <c r="C34" s="102">
        <f t="shared" si="4"/>
        <v>32</v>
      </c>
      <c r="D34" s="103">
        <v>1000000</v>
      </c>
      <c r="E34" s="149">
        <v>14760</v>
      </c>
      <c r="F34" s="92">
        <v>2221.0825239899732</v>
      </c>
      <c r="G34" s="90">
        <v>21170257.121004313</v>
      </c>
      <c r="H34" s="90">
        <v>7.9997184365922038</v>
      </c>
      <c r="I34" s="90">
        <v>35138486.655512489</v>
      </c>
      <c r="J34" s="164">
        <v>19.492326070136961</v>
      </c>
      <c r="K34" s="142">
        <v>1</v>
      </c>
      <c r="L34" s="110">
        <v>61610.857701569672</v>
      </c>
      <c r="M34" s="110">
        <v>492.3279523913734</v>
      </c>
      <c r="N34" s="110">
        <v>7.9999985790484214</v>
      </c>
      <c r="O34" s="110">
        <v>3161.2027228614534</v>
      </c>
      <c r="P34" s="159">
        <v>102.70569808961767</v>
      </c>
      <c r="R34" s="108"/>
    </row>
    <row r="35" spans="1:18">
      <c r="A35" s="104" t="s">
        <v>139</v>
      </c>
      <c r="B35" s="102" t="s">
        <v>176</v>
      </c>
      <c r="C35" s="102">
        <f t="shared" si="4"/>
        <v>32</v>
      </c>
      <c r="D35" s="103">
        <v>2000000</v>
      </c>
      <c r="E35" s="149">
        <v>11746</v>
      </c>
      <c r="F35" s="92">
        <v>4442.16504797992</v>
      </c>
      <c r="G35" s="90">
        <v>33694558.285000041</v>
      </c>
      <c r="H35" s="90">
        <v>7.9997184365917278</v>
      </c>
      <c r="I35" s="90">
        <v>63120114.13942609</v>
      </c>
      <c r="J35" s="164">
        <v>23.79494003456152</v>
      </c>
      <c r="K35" s="142">
        <v>1</v>
      </c>
      <c r="L35" s="110">
        <v>123221.71540313934</v>
      </c>
      <c r="M35" s="110">
        <v>984.6559047827468</v>
      </c>
      <c r="N35" s="110">
        <v>7.9999985790484214</v>
      </c>
      <c r="O35" s="110">
        <v>7122.7925832301262</v>
      </c>
      <c r="P35" s="159">
        <v>115.70776200426917</v>
      </c>
      <c r="R35" s="108"/>
    </row>
    <row r="36" spans="1:18">
      <c r="A36" s="104" t="s">
        <v>139</v>
      </c>
      <c r="B36" s="102" t="s">
        <v>176</v>
      </c>
      <c r="C36" s="102">
        <v>42</v>
      </c>
      <c r="D36" s="103">
        <v>50000</v>
      </c>
      <c r="E36" s="149">
        <v>14631</v>
      </c>
      <c r="F36" s="92">
        <v>187.70476242631608</v>
      </c>
      <c r="G36" s="90">
        <v>1762920.601542457</v>
      </c>
      <c r="H36" s="90">
        <v>8.0000339771559617</v>
      </c>
      <c r="I36" s="90">
        <v>109544693.35338715</v>
      </c>
      <c r="J36" s="164">
        <v>25.946247019547187</v>
      </c>
      <c r="K36" s="143">
        <v>1</v>
      </c>
      <c r="L36" s="110">
        <v>4516.2368454787202</v>
      </c>
      <c r="M36" s="110">
        <v>36.067891461213549</v>
      </c>
      <c r="N36" s="110">
        <v>8.0000298890148613</v>
      </c>
      <c r="O36" s="110">
        <v>15045.972303967501</v>
      </c>
      <c r="P36" s="159">
        <v>122.20879396159516</v>
      </c>
      <c r="R36" s="108"/>
    </row>
    <row r="37" spans="1:18">
      <c r="A37" s="104" t="s">
        <v>139</v>
      </c>
      <c r="B37" s="102" t="s">
        <v>176</v>
      </c>
      <c r="C37" s="102">
        <f>C36</f>
        <v>42</v>
      </c>
      <c r="D37" s="103">
        <v>100000</v>
      </c>
      <c r="E37" s="149">
        <v>14763</v>
      </c>
      <c r="F37" s="92">
        <v>375.40805128017161</v>
      </c>
      <c r="G37" s="90">
        <v>3557496.9460672922</v>
      </c>
      <c r="H37" s="90">
        <v>7.9997186672838865</v>
      </c>
      <c r="I37" s="90">
        <v>-5086911.7423024205</v>
      </c>
      <c r="J37" s="164">
        <v>-22.995005427011129</v>
      </c>
      <c r="K37" s="149">
        <v>13171</v>
      </c>
      <c r="L37" s="90">
        <v>9032.4733907382943</v>
      </c>
      <c r="M37" s="90">
        <v>950096.64685486257</v>
      </c>
      <c r="N37" s="90">
        <v>7.9999985790501524</v>
      </c>
      <c r="O37" s="90">
        <v>-179.73024253371477</v>
      </c>
      <c r="P37" s="160">
        <v>-39.847860092366894</v>
      </c>
      <c r="R37" s="108"/>
    </row>
    <row r="38" spans="1:18">
      <c r="A38" s="104" t="s">
        <v>139</v>
      </c>
      <c r="B38" s="102" t="s">
        <v>176</v>
      </c>
      <c r="C38" s="102">
        <f t="shared" ref="C38:C41" si="5">C37</f>
        <v>42</v>
      </c>
      <c r="D38" s="103">
        <v>250000</v>
      </c>
      <c r="E38" s="149">
        <v>17870</v>
      </c>
      <c r="F38" s="92">
        <v>938.52113475606973</v>
      </c>
      <c r="G38" s="90">
        <v>10765634.228056788</v>
      </c>
      <c r="H38" s="90">
        <v>7.9998048192293725</v>
      </c>
      <c r="I38" s="90">
        <v>1130952.1783738602</v>
      </c>
      <c r="J38" s="164">
        <v>2.5333468499904388</v>
      </c>
      <c r="K38" s="149">
        <v>15329</v>
      </c>
      <c r="L38" s="90">
        <v>22581.183492264288</v>
      </c>
      <c r="M38" s="90">
        <v>2764412.8540990055</v>
      </c>
      <c r="N38" s="90">
        <v>7.9999992222524998</v>
      </c>
      <c r="O38" s="90">
        <v>5787626.2755147517</v>
      </c>
      <c r="P38" s="160">
        <v>48.711958629398517</v>
      </c>
      <c r="R38" s="108"/>
    </row>
    <row r="39" spans="1:18">
      <c r="A39" s="104" t="s">
        <v>139</v>
      </c>
      <c r="B39" s="102" t="s">
        <v>176</v>
      </c>
      <c r="C39" s="102">
        <f t="shared" si="5"/>
        <v>42</v>
      </c>
      <c r="D39" s="103">
        <v>500000</v>
      </c>
      <c r="E39" s="149">
        <v>18112</v>
      </c>
      <c r="F39" s="92">
        <v>1877.0402559990594</v>
      </c>
      <c r="G39" s="90">
        <v>21822591.79532633</v>
      </c>
      <c r="H39" s="90">
        <v>7.9997186500887247</v>
      </c>
      <c r="I39" s="90">
        <v>24115437.80001558</v>
      </c>
      <c r="J39" s="164">
        <v>17.850696115711802</v>
      </c>
      <c r="K39" s="149">
        <v>15789</v>
      </c>
      <c r="L39" s="90">
        <v>45162.366953691409</v>
      </c>
      <c r="M39" s="90">
        <v>5694736.9057733417</v>
      </c>
      <c r="N39" s="90">
        <v>7.9999985790484107</v>
      </c>
      <c r="O39" s="90">
        <v>35208856.662192315</v>
      </c>
      <c r="P39" s="160">
        <v>101.8478701817738</v>
      </c>
      <c r="R39" s="108"/>
    </row>
    <row r="40" spans="1:18">
      <c r="A40" s="104" t="s">
        <v>139</v>
      </c>
      <c r="B40" s="102" t="s">
        <v>176</v>
      </c>
      <c r="C40" s="102">
        <f t="shared" si="5"/>
        <v>42</v>
      </c>
      <c r="D40" s="103">
        <v>1000000</v>
      </c>
      <c r="E40" s="149">
        <v>16056</v>
      </c>
      <c r="F40" s="92">
        <v>3754.0805116959359</v>
      </c>
      <c r="G40" s="90">
        <v>38690761.214040115</v>
      </c>
      <c r="H40" s="90">
        <v>7.9997186436227041</v>
      </c>
      <c r="I40" s="90">
        <v>62865844.594622031</v>
      </c>
      <c r="J40" s="164">
        <v>22.956378354050116</v>
      </c>
      <c r="K40" s="149">
        <v>16124</v>
      </c>
      <c r="L40" s="90">
        <v>90324.73390738279</v>
      </c>
      <c r="M40" s="90">
        <v>11631127.730532885</v>
      </c>
      <c r="N40" s="90">
        <v>7.9999985790486301</v>
      </c>
      <c r="O40" s="90">
        <v>85144400.442064404</v>
      </c>
      <c r="P40" s="160">
        <v>119.55983992706716</v>
      </c>
      <c r="R40" s="108"/>
    </row>
    <row r="41" spans="1:18">
      <c r="A41" s="104" t="s">
        <v>139</v>
      </c>
      <c r="B41" s="102" t="s">
        <v>176</v>
      </c>
      <c r="C41" s="102">
        <f t="shared" si="5"/>
        <v>42</v>
      </c>
      <c r="D41" s="103">
        <v>2000000</v>
      </c>
      <c r="E41" s="149">
        <v>15493</v>
      </c>
      <c r="F41" s="92">
        <v>7508.1610233918245</v>
      </c>
      <c r="G41" s="90">
        <v>74668156.887030602</v>
      </c>
      <c r="H41" s="90">
        <v>7.9997186436221961</v>
      </c>
      <c r="I41" s="90">
        <v>123854029.45670882</v>
      </c>
      <c r="J41" s="164">
        <v>25.509257289294602</v>
      </c>
      <c r="K41" s="149">
        <v>14768</v>
      </c>
      <c r="L41" s="90">
        <v>180649.46781476564</v>
      </c>
      <c r="M41" s="90">
        <v>21305940.749752998</v>
      </c>
      <c r="N41" s="90">
        <v>7.999998579048583</v>
      </c>
      <c r="O41" s="90">
        <v>186783054.69837976</v>
      </c>
      <c r="P41" s="160">
        <v>128.41582508927564</v>
      </c>
      <c r="R41" s="108"/>
    </row>
    <row r="42" spans="1:18">
      <c r="A42" s="104" t="s">
        <v>139</v>
      </c>
      <c r="B42" s="102" t="s">
        <v>176</v>
      </c>
      <c r="C42" s="102">
        <v>52</v>
      </c>
      <c r="D42" s="103">
        <v>50000</v>
      </c>
      <c r="E42" s="149">
        <v>15922</v>
      </c>
      <c r="F42" s="92">
        <v>343.9804436697973</v>
      </c>
      <c r="G42" s="90">
        <v>3473174.4003040176</v>
      </c>
      <c r="H42" s="90">
        <v>8.0002759885541117</v>
      </c>
      <c r="I42" s="90">
        <v>250982494.39893776</v>
      </c>
      <c r="J42" s="164">
        <v>26.785696759549047</v>
      </c>
      <c r="K42" s="142">
        <v>1</v>
      </c>
      <c r="L42" s="110">
        <v>6759.233319362871</v>
      </c>
      <c r="M42" s="110">
        <v>53.910968828765363</v>
      </c>
      <c r="N42" s="110">
        <v>8.0000026697104403</v>
      </c>
      <c r="O42" s="110">
        <v>353947757.32901192</v>
      </c>
      <c r="P42" s="159">
        <v>132.84381767037993</v>
      </c>
      <c r="R42" s="108"/>
    </row>
    <row r="43" spans="1:18">
      <c r="A43" s="104" t="s">
        <v>139</v>
      </c>
      <c r="B43" s="102" t="s">
        <v>176</v>
      </c>
      <c r="C43" s="102">
        <f>C42</f>
        <v>52</v>
      </c>
      <c r="D43" s="103">
        <v>100000</v>
      </c>
      <c r="E43" s="149">
        <v>15549</v>
      </c>
      <c r="F43" s="92">
        <v>687.95611088830253</v>
      </c>
      <c r="G43" s="90">
        <v>6783099.4463842511</v>
      </c>
      <c r="H43" s="90">
        <v>7.999719105550736</v>
      </c>
      <c r="I43" s="90">
        <v>-13099.238766772673</v>
      </c>
      <c r="J43" s="164">
        <v>-2.9966332215133704E-2</v>
      </c>
      <c r="K43" s="149">
        <v>13138</v>
      </c>
      <c r="L43" s="90">
        <v>13518.466580021417</v>
      </c>
      <c r="M43" s="90">
        <v>1416563.8864575475</v>
      </c>
      <c r="N43" s="90">
        <v>7.9999985790485377</v>
      </c>
      <c r="O43" s="90">
        <v>105.08696083069754</v>
      </c>
      <c r="P43" s="160">
        <v>15.582382055081437</v>
      </c>
      <c r="R43" s="108"/>
    </row>
    <row r="44" spans="1:18">
      <c r="A44" s="104" t="s">
        <v>139</v>
      </c>
      <c r="B44" s="102" t="s">
        <v>176</v>
      </c>
      <c r="C44" s="102">
        <f t="shared" ref="C44:C47" si="6">C43</f>
        <v>52</v>
      </c>
      <c r="D44" s="103">
        <v>250000</v>
      </c>
      <c r="E44" s="149">
        <v>17218</v>
      </c>
      <c r="F44" s="92">
        <v>1719.8921214004592</v>
      </c>
      <c r="G44" s="90">
        <v>18778183.022593454</v>
      </c>
      <c r="H44" s="90">
        <v>7.9998051106870252</v>
      </c>
      <c r="I44" s="90">
        <v>11936215.076792855</v>
      </c>
      <c r="J44" s="164">
        <v>13.980488381342374</v>
      </c>
      <c r="K44" s="149">
        <v>13753</v>
      </c>
      <c r="L44" s="90">
        <v>33796.166473129786</v>
      </c>
      <c r="M44" s="90">
        <v>3707186.1603966355</v>
      </c>
      <c r="N44" s="90">
        <v>7.9999992222526357</v>
      </c>
      <c r="O44" s="90">
        <v>13216609.767422274</v>
      </c>
      <c r="P44" s="160">
        <v>74.584027627557205</v>
      </c>
      <c r="R44" s="108"/>
    </row>
    <row r="45" spans="1:18">
      <c r="A45" s="104" t="s">
        <v>139</v>
      </c>
      <c r="B45" s="102" t="s">
        <v>176</v>
      </c>
      <c r="C45" s="102">
        <f t="shared" si="6"/>
        <v>52</v>
      </c>
      <c r="D45" s="103">
        <v>500000</v>
      </c>
      <c r="E45" s="149">
        <v>17379</v>
      </c>
      <c r="F45" s="92">
        <v>3439.7805529262901</v>
      </c>
      <c r="G45" s="90">
        <v>37907095.217098787</v>
      </c>
      <c r="H45" s="90">
        <v>7.9997190702187515</v>
      </c>
      <c r="I45" s="90">
        <v>52913291.854385108</v>
      </c>
      <c r="J45" s="164">
        <v>22.387199723406695</v>
      </c>
      <c r="K45" s="149">
        <v>14040</v>
      </c>
      <c r="L45" s="90">
        <v>67592.332900107082</v>
      </c>
      <c r="M45" s="90">
        <v>7569096.120362401</v>
      </c>
      <c r="N45" s="90">
        <v>7.9999985790486488</v>
      </c>
      <c r="O45" s="90">
        <v>51005376.73893559</v>
      </c>
      <c r="P45" s="160">
        <v>109.98501797925158</v>
      </c>
      <c r="R45" s="108"/>
    </row>
    <row r="46" spans="1:18">
      <c r="A46" s="104" t="s">
        <v>139</v>
      </c>
      <c r="B46" s="102" t="s">
        <v>176</v>
      </c>
      <c r="C46" s="102">
        <f t="shared" si="6"/>
        <v>52</v>
      </c>
      <c r="D46" s="103">
        <v>1000000</v>
      </c>
      <c r="E46" s="149">
        <v>17003</v>
      </c>
      <c r="F46" s="92">
        <v>6879.5611052988124</v>
      </c>
      <c r="G46" s="90">
        <v>74173927.084902525</v>
      </c>
      <c r="H46" s="90">
        <v>7.9997190637623667</v>
      </c>
      <c r="I46" s="90">
        <v>120185880.63571781</v>
      </c>
      <c r="J46" s="164">
        <v>25.189342609007792</v>
      </c>
      <c r="K46" s="149">
        <v>13887</v>
      </c>
      <c r="L46" s="90">
        <v>135184.66580021413</v>
      </c>
      <c r="M46" s="90">
        <v>14973224.761178017</v>
      </c>
      <c r="N46" s="90">
        <v>7.9999985790484249</v>
      </c>
      <c r="O46" s="90">
        <v>115312696.74480832</v>
      </c>
      <c r="P46" s="160">
        <v>121.78534733172647</v>
      </c>
      <c r="R46" s="108"/>
    </row>
    <row r="47" spans="1:18">
      <c r="A47" s="104" t="s">
        <v>139</v>
      </c>
      <c r="B47" s="102" t="s">
        <v>176</v>
      </c>
      <c r="C47" s="102">
        <f t="shared" si="6"/>
        <v>52</v>
      </c>
      <c r="D47" s="103">
        <v>2000000</v>
      </c>
      <c r="E47" s="149">
        <v>17015</v>
      </c>
      <c r="F47" s="92">
        <v>13759.122210597541</v>
      </c>
      <c r="G47" s="90">
        <v>148452551.82609326</v>
      </c>
      <c r="H47" s="90">
        <v>7.9997190637618756</v>
      </c>
      <c r="I47" s="90">
        <v>248252174.28979024</v>
      </c>
      <c r="J47" s="164">
        <v>26.590449386591491</v>
      </c>
      <c r="K47" s="149">
        <v>13345</v>
      </c>
      <c r="L47" s="90">
        <v>270369.33160042827</v>
      </c>
      <c r="M47" s="90">
        <v>28777660.320864677</v>
      </c>
      <c r="N47" s="90">
        <v>7.9999985790485537</v>
      </c>
      <c r="O47" s="90">
        <v>239163574.89628458</v>
      </c>
      <c r="P47" s="160">
        <v>127.68551229474687</v>
      </c>
      <c r="R47" s="108"/>
    </row>
    <row r="48" spans="1:18">
      <c r="A48" s="104" t="s">
        <v>139</v>
      </c>
      <c r="B48" s="102" t="s">
        <v>176</v>
      </c>
      <c r="C48" s="102">
        <v>62</v>
      </c>
      <c r="D48" s="103">
        <v>50000</v>
      </c>
      <c r="E48" s="144">
        <v>1</v>
      </c>
      <c r="F48" s="150">
        <v>742.45723641603252</v>
      </c>
      <c r="G48" s="110">
        <v>458.40565283670742</v>
      </c>
      <c r="H48" s="110">
        <v>8.0000816167136275</v>
      </c>
      <c r="I48" s="110">
        <v>509944922.29748839</v>
      </c>
      <c r="J48" s="165">
        <v>27.291002777922046</v>
      </c>
      <c r="K48" s="142">
        <v>1</v>
      </c>
      <c r="L48" s="110">
        <v>10287.050021459159</v>
      </c>
      <c r="M48" s="110">
        <v>81.855628654696375</v>
      </c>
      <c r="N48" s="110">
        <v>8.0000013441575071</v>
      </c>
      <c r="O48" s="110">
        <v>470278450.23227882</v>
      </c>
      <c r="P48" s="159">
        <v>130.63559477625762</v>
      </c>
      <c r="R48" s="108"/>
    </row>
    <row r="49" spans="1:18">
      <c r="A49" s="104" t="s">
        <v>139</v>
      </c>
      <c r="B49" s="102" t="s">
        <v>176</v>
      </c>
      <c r="C49" s="102">
        <f>C48</f>
        <v>62</v>
      </c>
      <c r="D49" s="103">
        <v>100000</v>
      </c>
      <c r="E49" s="142">
        <v>1</v>
      </c>
      <c r="F49" s="150">
        <v>1484.9077562022533</v>
      </c>
      <c r="G49" s="110">
        <v>916.76572283677797</v>
      </c>
      <c r="H49" s="110">
        <v>7.9997200462511726</v>
      </c>
      <c r="I49" s="110">
        <v>843.75601337171338</v>
      </c>
      <c r="J49" s="165">
        <v>14.529496856735523</v>
      </c>
      <c r="K49" s="149">
        <v>13074</v>
      </c>
      <c r="L49" s="90">
        <v>20574.099982525942</v>
      </c>
      <c r="M49" s="90">
        <v>2140360.2319890261</v>
      </c>
      <c r="N49" s="90">
        <v>7.9999985790487047</v>
      </c>
      <c r="O49" s="90">
        <v>551.9987977680521</v>
      </c>
      <c r="P49" s="160">
        <v>53.876004110416773</v>
      </c>
      <c r="R49" s="108"/>
    </row>
    <row r="50" spans="1:18">
      <c r="A50" s="104" t="s">
        <v>139</v>
      </c>
      <c r="B50" s="102" t="s">
        <v>176</v>
      </c>
      <c r="C50" s="102">
        <f t="shared" ref="C50:C53" si="7">C49</f>
        <v>62</v>
      </c>
      <c r="D50" s="103">
        <v>250000</v>
      </c>
      <c r="E50" s="142">
        <v>1</v>
      </c>
      <c r="F50" s="150">
        <v>3712.2733717195129</v>
      </c>
      <c r="G50" s="110">
        <v>2291.9413258538798</v>
      </c>
      <c r="H50" s="110">
        <v>7.9998057734299106</v>
      </c>
      <c r="I50" s="110">
        <v>2451.2407665999372</v>
      </c>
      <c r="J50" s="165">
        <v>21.105305056420175</v>
      </c>
      <c r="K50" s="149">
        <v>13153</v>
      </c>
      <c r="L50" s="90">
        <v>51435.249991435165</v>
      </c>
      <c r="M50" s="90">
        <v>5383233.9785111547</v>
      </c>
      <c r="N50" s="90">
        <v>7.9999992222526508</v>
      </c>
      <c r="O50" s="90">
        <v>24751652.254786998</v>
      </c>
      <c r="P50" s="160">
        <v>92.389574152588423</v>
      </c>
      <c r="R50" s="108"/>
    </row>
    <row r="51" spans="1:18">
      <c r="A51" s="104" t="s">
        <v>139</v>
      </c>
      <c r="B51" s="102" t="s">
        <v>176</v>
      </c>
      <c r="C51" s="102">
        <f t="shared" si="7"/>
        <v>62</v>
      </c>
      <c r="D51" s="103">
        <v>500000</v>
      </c>
      <c r="E51" s="142">
        <v>1</v>
      </c>
      <c r="F51" s="150">
        <v>7424.5387790888026</v>
      </c>
      <c r="G51" s="110">
        <v>4583.8286011369601</v>
      </c>
      <c r="H51" s="110">
        <v>7.9997200255530077</v>
      </c>
      <c r="I51" s="110">
        <v>7273.7918531838068</v>
      </c>
      <c r="J51" s="165">
        <v>25.051057151607601</v>
      </c>
      <c r="K51" s="149">
        <v>12976</v>
      </c>
      <c r="L51" s="90">
        <v>102870.49991262969</v>
      </c>
      <c r="M51" s="90">
        <v>10621582.671825647</v>
      </c>
      <c r="N51" s="90">
        <v>7.9999985790487358</v>
      </c>
      <c r="O51" s="90">
        <v>77823540.145822227</v>
      </c>
      <c r="P51" s="160">
        <v>115.49771832596227</v>
      </c>
      <c r="R51" s="108"/>
    </row>
    <row r="52" spans="1:18">
      <c r="A52" s="104" t="s">
        <v>139</v>
      </c>
      <c r="B52" s="102" t="s">
        <v>176</v>
      </c>
      <c r="C52" s="102">
        <f t="shared" si="7"/>
        <v>62</v>
      </c>
      <c r="D52" s="103">
        <v>1000000</v>
      </c>
      <c r="E52" s="142">
        <v>1</v>
      </c>
      <c r="F52" s="150">
        <v>14849.077556982334</v>
      </c>
      <c r="G52" s="110">
        <v>9167.6571941621587</v>
      </c>
      <c r="H52" s="110">
        <v>7.9997200191185964</v>
      </c>
      <c r="I52" s="110">
        <v>15311.303851208804</v>
      </c>
      <c r="J52" s="165">
        <v>26.366217719462227</v>
      </c>
      <c r="K52" s="149">
        <v>13364</v>
      </c>
      <c r="L52" s="90">
        <v>205740.99982525938</v>
      </c>
      <c r="M52" s="90">
        <v>21878364.800597191</v>
      </c>
      <c r="N52" s="90">
        <v>7.9999985790485448</v>
      </c>
      <c r="O52" s="90">
        <v>163793182.66540515</v>
      </c>
      <c r="P52" s="160">
        <v>123.20043229068213</v>
      </c>
      <c r="R52" s="108"/>
    </row>
    <row r="53" spans="1:18">
      <c r="A53" s="104" t="s">
        <v>139</v>
      </c>
      <c r="B53" s="102" t="s">
        <v>176</v>
      </c>
      <c r="C53" s="102">
        <f t="shared" si="7"/>
        <v>62</v>
      </c>
      <c r="D53" s="103">
        <v>2000000</v>
      </c>
      <c r="E53" s="143">
        <v>1</v>
      </c>
      <c r="F53" s="150">
        <v>29698.155113964491</v>
      </c>
      <c r="G53" s="110">
        <v>18335.314388323095</v>
      </c>
      <c r="H53" s="110">
        <v>7.9997200191181141</v>
      </c>
      <c r="I53" s="110">
        <v>31386.382702046951</v>
      </c>
      <c r="J53" s="165">
        <v>27.023831799595975</v>
      </c>
      <c r="K53" s="149">
        <v>13279</v>
      </c>
      <c r="L53" s="90">
        <v>411481.99965051864</v>
      </c>
      <c r="M53" s="90">
        <v>43478420.560779095</v>
      </c>
      <c r="N53" s="90">
        <v>7.999998579048432</v>
      </c>
      <c r="O53" s="90">
        <v>347928498.13964534</v>
      </c>
      <c r="P53" s="160">
        <v>127.05178955794425</v>
      </c>
      <c r="R53" s="108"/>
    </row>
    <row r="54" spans="1:18">
      <c r="A54" s="104" t="s">
        <v>139</v>
      </c>
      <c r="B54" s="102" t="s">
        <v>141</v>
      </c>
      <c r="C54" s="102">
        <v>32</v>
      </c>
      <c r="D54" s="103">
        <v>50000</v>
      </c>
      <c r="E54" s="149">
        <v>9728</v>
      </c>
      <c r="F54" s="92">
        <v>62.838771691740767</v>
      </c>
      <c r="G54" s="90">
        <v>396834.56171946938</v>
      </c>
      <c r="H54" s="90">
        <v>8.0000328453053431</v>
      </c>
      <c r="I54" s="90">
        <v>63536.540411955706</v>
      </c>
      <c r="J54" s="164">
        <v>27.352638842145936</v>
      </c>
      <c r="K54" s="144">
        <v>1</v>
      </c>
      <c r="L54" s="110">
        <v>2549.575471865262</v>
      </c>
      <c r="M54" s="110">
        <v>20.385232246743499</v>
      </c>
      <c r="N54" s="110">
        <v>8.0000318880904846</v>
      </c>
      <c r="O54" s="110">
        <v>701910861.76214647</v>
      </c>
      <c r="P54" s="159">
        <v>128.97746819157481</v>
      </c>
      <c r="R54" s="108"/>
    </row>
    <row r="55" spans="1:18">
      <c r="A55" s="104" t="s">
        <v>139</v>
      </c>
      <c r="B55" s="102" t="s">
        <v>141</v>
      </c>
      <c r="C55" s="102">
        <f>C54</f>
        <v>32</v>
      </c>
      <c r="D55" s="103">
        <v>100000</v>
      </c>
      <c r="E55" s="149">
        <v>9570</v>
      </c>
      <c r="F55" s="92">
        <v>125.67705191040383</v>
      </c>
      <c r="G55" s="90">
        <v>780744.77321560704</v>
      </c>
      <c r="H55" s="90">
        <v>7.9997182793311614</v>
      </c>
      <c r="I55" s="90">
        <v>-6137304.2329056393</v>
      </c>
      <c r="J55" s="164">
        <v>-123.56691888862305</v>
      </c>
      <c r="K55" s="142">
        <v>1</v>
      </c>
      <c r="L55" s="110">
        <v>5099.1507634249783</v>
      </c>
      <c r="M55" s="110">
        <v>40.770293299399327</v>
      </c>
      <c r="N55" s="110">
        <v>7.9999985790502759</v>
      </c>
      <c r="O55" s="110">
        <v>-524.96585850365886</v>
      </c>
      <c r="P55" s="159">
        <v>-205.98999144628013</v>
      </c>
      <c r="R55" s="108"/>
    </row>
    <row r="56" spans="1:18">
      <c r="A56" s="104" t="s">
        <v>139</v>
      </c>
      <c r="B56" s="102" t="s">
        <v>141</v>
      </c>
      <c r="C56" s="102">
        <f t="shared" ref="C56:C59" si="8">C55</f>
        <v>32</v>
      </c>
      <c r="D56" s="103">
        <v>250000</v>
      </c>
      <c r="E56" s="149">
        <v>22743</v>
      </c>
      <c r="F56" s="92">
        <v>314.19296674554113</v>
      </c>
      <c r="G56" s="90">
        <v>4638633.4668538589</v>
      </c>
      <c r="H56" s="90">
        <v>7.9998045501399666</v>
      </c>
      <c r="I56" s="90">
        <v>-4664264.252172539</v>
      </c>
      <c r="J56" s="164">
        <v>-47.729956613261507</v>
      </c>
      <c r="K56" s="142">
        <v>1</v>
      </c>
      <c r="L56" s="110">
        <v>12747.87691726676</v>
      </c>
      <c r="M56" s="110">
        <v>101.92574151295412</v>
      </c>
      <c r="N56" s="110">
        <v>7.9999992222526304</v>
      </c>
      <c r="O56" s="110">
        <v>-248.40577330651467</v>
      </c>
      <c r="P56" s="159">
        <v>-48.73565023237996</v>
      </c>
      <c r="R56" s="108"/>
    </row>
    <row r="57" spans="1:18">
      <c r="A57" s="104" t="s">
        <v>139</v>
      </c>
      <c r="B57" s="102" t="s">
        <v>141</v>
      </c>
      <c r="C57" s="102">
        <f t="shared" si="8"/>
        <v>32</v>
      </c>
      <c r="D57" s="103">
        <v>500000</v>
      </c>
      <c r="E57" s="149">
        <v>23050</v>
      </c>
      <c r="F57" s="92">
        <v>628.38525941819807</v>
      </c>
      <c r="G57" s="90">
        <v>9402386.0920849964</v>
      </c>
      <c r="H57" s="90">
        <v>7.9997182622007408</v>
      </c>
      <c r="I57" s="90">
        <v>-1293077.6215165406</v>
      </c>
      <c r="J57" s="164">
        <v>-2.2271845232930523</v>
      </c>
      <c r="K57" s="142">
        <v>1</v>
      </c>
      <c r="L57" s="110">
        <v>25495.753817124842</v>
      </c>
      <c r="M57" s="110">
        <v>203.85146649695162</v>
      </c>
      <c r="N57" s="110">
        <v>7.9999985790485253</v>
      </c>
      <c r="O57" s="110">
        <v>581.27474737772809</v>
      </c>
      <c r="P57" s="159">
        <v>45.616979638902748</v>
      </c>
      <c r="R57" s="108"/>
    </row>
    <row r="58" spans="1:18">
      <c r="A58" s="104" t="s">
        <v>139</v>
      </c>
      <c r="B58" s="102" t="s">
        <v>141</v>
      </c>
      <c r="C58" s="102">
        <f t="shared" si="8"/>
        <v>32</v>
      </c>
      <c r="D58" s="103">
        <v>1000000</v>
      </c>
      <c r="E58" s="149">
        <v>13580</v>
      </c>
      <c r="F58" s="92">
        <v>1256.7705187352328</v>
      </c>
      <c r="G58" s="90">
        <v>11078906.98628103</v>
      </c>
      <c r="H58" s="90">
        <v>7.9997182557257878</v>
      </c>
      <c r="I58" s="90">
        <v>15228764.109459814</v>
      </c>
      <c r="J58" s="164">
        <v>12.940276487341132</v>
      </c>
      <c r="K58" s="142">
        <v>1</v>
      </c>
      <c r="L58" s="110">
        <v>50991.507634249683</v>
      </c>
      <c r="M58" s="110">
        <v>407.70293299390323</v>
      </c>
      <c r="N58" s="110">
        <v>7.9999985790485253</v>
      </c>
      <c r="O58" s="110">
        <v>1964.0755931431158</v>
      </c>
      <c r="P58" s="159">
        <v>77.067855439305873</v>
      </c>
      <c r="R58" s="108"/>
    </row>
    <row r="59" spans="1:18">
      <c r="A59" s="104" t="s">
        <v>139</v>
      </c>
      <c r="B59" s="102" t="s">
        <v>141</v>
      </c>
      <c r="C59" s="102">
        <f t="shared" si="8"/>
        <v>32</v>
      </c>
      <c r="D59" s="103">
        <v>2000000</v>
      </c>
      <c r="E59" s="149">
        <v>7027</v>
      </c>
      <c r="F59" s="92">
        <v>2513.5410374704506</v>
      </c>
      <c r="G59" s="90">
        <v>11465608.157966368</v>
      </c>
      <c r="H59" s="90">
        <v>7.9997182557253064</v>
      </c>
      <c r="I59" s="90">
        <v>28460539.128556296</v>
      </c>
      <c r="J59" s="164">
        <v>20.524055623073821</v>
      </c>
      <c r="K59" s="142">
        <v>1</v>
      </c>
      <c r="L59" s="110">
        <v>101983.01526849937</v>
      </c>
      <c r="M59" s="110">
        <v>815.40586598780646</v>
      </c>
      <c r="N59" s="110">
        <v>7.9999985790485253</v>
      </c>
      <c r="O59" s="110">
        <v>4729.6773012051635</v>
      </c>
      <c r="P59" s="159">
        <v>92.793293648266797</v>
      </c>
      <c r="R59" s="108"/>
    </row>
    <row r="60" spans="1:18">
      <c r="A60" s="104" t="s">
        <v>139</v>
      </c>
      <c r="B60" s="102" t="s">
        <v>141</v>
      </c>
      <c r="C60" s="102">
        <v>42</v>
      </c>
      <c r="D60" s="103">
        <v>50000</v>
      </c>
      <c r="E60" s="149">
        <v>12796</v>
      </c>
      <c r="F60" s="92">
        <v>119.12407909353172</v>
      </c>
      <c r="G60" s="90">
        <v>985145.19039682113</v>
      </c>
      <c r="H60" s="90">
        <v>8.0000034600390322</v>
      </c>
      <c r="I60" s="90">
        <v>34895648.591840521</v>
      </c>
      <c r="J60" s="164">
        <v>24.315945193978923</v>
      </c>
      <c r="K60" s="143">
        <v>1</v>
      </c>
      <c r="L60" s="110">
        <v>3808.3162651152124</v>
      </c>
      <c r="M60" s="110">
        <v>30.436324108585723</v>
      </c>
      <c r="N60" s="110">
        <v>8.000003453553397</v>
      </c>
      <c r="O60" s="110">
        <v>10260.880717329266</v>
      </c>
      <c r="P60" s="159">
        <v>100.65601275274733</v>
      </c>
      <c r="R60" s="108"/>
    </row>
    <row r="61" spans="1:18">
      <c r="A61" s="104" t="s">
        <v>139</v>
      </c>
      <c r="B61" s="102" t="s">
        <v>141</v>
      </c>
      <c r="C61" s="102">
        <f>C60</f>
        <v>42</v>
      </c>
      <c r="D61" s="103">
        <v>100000</v>
      </c>
      <c r="E61" s="149">
        <v>13040</v>
      </c>
      <c r="F61" s="92">
        <v>238.24731351873388</v>
      </c>
      <c r="G61" s="90">
        <v>2007782.1260021739</v>
      </c>
      <c r="H61" s="90">
        <v>7.9997184295948651</v>
      </c>
      <c r="I61" s="90">
        <v>-6430877.7546842732</v>
      </c>
      <c r="J61" s="164">
        <v>-52.098093140355864</v>
      </c>
      <c r="K61" s="149">
        <v>8941</v>
      </c>
      <c r="L61" s="90">
        <v>7616.6324908171409</v>
      </c>
      <c r="M61" s="90">
        <v>544262.01326734573</v>
      </c>
      <c r="N61" s="90">
        <v>7.9999985790487074</v>
      </c>
      <c r="O61" s="90">
        <v>-308.64633591981374</v>
      </c>
      <c r="P61" s="160">
        <v>-81.105688319741873</v>
      </c>
      <c r="R61" s="108"/>
    </row>
    <row r="62" spans="1:18">
      <c r="A62" s="104" t="s">
        <v>139</v>
      </c>
      <c r="B62" s="102" t="s">
        <v>141</v>
      </c>
      <c r="C62" s="102">
        <f t="shared" ref="C62:C65" si="9">C61</f>
        <v>42</v>
      </c>
      <c r="D62" s="103">
        <v>250000</v>
      </c>
      <c r="E62" s="149">
        <v>18310</v>
      </c>
      <c r="F62" s="92">
        <v>595.61892260985599</v>
      </c>
      <c r="G62" s="90">
        <v>7048107.0565196127</v>
      </c>
      <c r="H62" s="90">
        <v>7.9998046559173472</v>
      </c>
      <c r="I62" s="90">
        <v>-3021349.6878753146</v>
      </c>
      <c r="J62" s="164">
        <v>-12.009384529917618</v>
      </c>
      <c r="K62" s="149">
        <v>12007</v>
      </c>
      <c r="L62" s="90">
        <v>19041.581240044568</v>
      </c>
      <c r="M62" s="90">
        <v>1827243.743198961</v>
      </c>
      <c r="N62" s="90">
        <v>7.9999992222526739</v>
      </c>
      <c r="O62" s="90">
        <v>1637269.8650971428</v>
      </c>
      <c r="P62" s="160">
        <v>24.059930522759046</v>
      </c>
      <c r="R62" s="108"/>
    </row>
    <row r="63" spans="1:18">
      <c r="A63" s="104" t="s">
        <v>139</v>
      </c>
      <c r="B63" s="102" t="s">
        <v>141</v>
      </c>
      <c r="C63" s="102">
        <f t="shared" si="9"/>
        <v>42</v>
      </c>
      <c r="D63" s="103">
        <v>500000</v>
      </c>
      <c r="E63" s="149">
        <v>18709</v>
      </c>
      <c r="F63" s="92">
        <v>1191.2365673726338</v>
      </c>
      <c r="G63" s="90">
        <v>14403219.217161581</v>
      </c>
      <c r="H63" s="90">
        <v>7.99971841467727</v>
      </c>
      <c r="I63" s="90">
        <v>10636780.613957521</v>
      </c>
      <c r="J63" s="164">
        <v>12.04422145864179</v>
      </c>
      <c r="K63" s="149">
        <v>12007</v>
      </c>
      <c r="L63" s="90">
        <v>38083.162454085686</v>
      </c>
      <c r="M63" s="90">
        <v>3654487.1900798082</v>
      </c>
      <c r="N63" s="90">
        <v>7.9999985790483352</v>
      </c>
      <c r="O63" s="90">
        <v>19912605.323350668</v>
      </c>
      <c r="P63" s="160">
        <v>87.159305618769622</v>
      </c>
      <c r="R63" s="108"/>
    </row>
    <row r="64" spans="1:18">
      <c r="A64" s="104" t="s">
        <v>139</v>
      </c>
      <c r="B64" s="102" t="s">
        <v>141</v>
      </c>
      <c r="C64" s="102">
        <f t="shared" si="9"/>
        <v>42</v>
      </c>
      <c r="D64" s="103">
        <v>1000000</v>
      </c>
      <c r="E64" s="149">
        <v>14795</v>
      </c>
      <c r="F64" s="92">
        <v>2382.473134553491</v>
      </c>
      <c r="G64" s="90">
        <v>22780012.62797226</v>
      </c>
      <c r="H64" s="90">
        <v>7.9997184082058093</v>
      </c>
      <c r="I64" s="90">
        <v>36207375.20256269</v>
      </c>
      <c r="J64" s="164">
        <v>20.061980890746703</v>
      </c>
      <c r="K64" s="149">
        <v>11798</v>
      </c>
      <c r="L64" s="90">
        <v>76166.324908171402</v>
      </c>
      <c r="M64" s="90">
        <v>7181750.6235631704</v>
      </c>
      <c r="N64" s="90">
        <v>7.9999985790483157</v>
      </c>
      <c r="O64" s="90">
        <v>49435757.619109452</v>
      </c>
      <c r="P64" s="160">
        <v>108.19242986523513</v>
      </c>
      <c r="R64" s="108"/>
    </row>
    <row r="65" spans="1:18">
      <c r="A65" s="104" t="s">
        <v>139</v>
      </c>
      <c r="B65" s="102" t="s">
        <v>141</v>
      </c>
      <c r="C65" s="102">
        <f t="shared" si="9"/>
        <v>42</v>
      </c>
      <c r="D65" s="103">
        <v>2000000</v>
      </c>
      <c r="E65" s="149">
        <v>12092</v>
      </c>
      <c r="F65" s="92">
        <v>4764.9462691069539</v>
      </c>
      <c r="G65" s="90">
        <v>37236351.834730998</v>
      </c>
      <c r="H65" s="90">
        <v>7.9997184082053359</v>
      </c>
      <c r="I65" s="90">
        <v>68708422.427415952</v>
      </c>
      <c r="J65" s="164">
        <v>24.070901565479389</v>
      </c>
      <c r="K65" s="149">
        <v>9987</v>
      </c>
      <c r="L65" s="90">
        <v>152332.6498163428</v>
      </c>
      <c r="M65" s="90">
        <v>12158695.283527374</v>
      </c>
      <c r="N65" s="90">
        <v>7.999998579048607</v>
      </c>
      <c r="O65" s="90">
        <v>106593768.09009826</v>
      </c>
      <c r="P65" s="160">
        <v>118.70899228304503</v>
      </c>
      <c r="R65" s="108"/>
    </row>
    <row r="66" spans="1:18">
      <c r="A66" s="104" t="s">
        <v>139</v>
      </c>
      <c r="B66" s="102" t="s">
        <v>141</v>
      </c>
      <c r="C66" s="102">
        <v>52</v>
      </c>
      <c r="D66" s="103">
        <v>50000</v>
      </c>
      <c r="E66" s="149">
        <v>14353</v>
      </c>
      <c r="F66" s="92">
        <v>232.2316249166569</v>
      </c>
      <c r="G66" s="90">
        <v>2135040.2772664605</v>
      </c>
      <c r="H66" s="90">
        <v>7.9997859226936754</v>
      </c>
      <c r="I66" s="90">
        <v>121663730.73282734</v>
      </c>
      <c r="J66" s="164">
        <v>26.075361905596555</v>
      </c>
      <c r="K66" s="142">
        <v>1</v>
      </c>
      <c r="L66" s="110">
        <v>5812.0745545133404</v>
      </c>
      <c r="M66" s="110">
        <v>46.405929274716073</v>
      </c>
      <c r="N66" s="110">
        <v>8.0000019502807866</v>
      </c>
      <c r="O66" s="110">
        <v>188456837.85197699</v>
      </c>
      <c r="P66" s="159">
        <v>123.96727349194917</v>
      </c>
      <c r="R66" s="108"/>
    </row>
    <row r="67" spans="1:18">
      <c r="A67" s="104" t="s">
        <v>139</v>
      </c>
      <c r="B67" s="102" t="s">
        <v>141</v>
      </c>
      <c r="C67" s="102">
        <f>C66</f>
        <v>52</v>
      </c>
      <c r="D67" s="103">
        <v>100000</v>
      </c>
      <c r="E67" s="149">
        <v>14374</v>
      </c>
      <c r="F67" s="92">
        <v>464.46286115528193</v>
      </c>
      <c r="G67" s="90">
        <v>4276288.6432559788</v>
      </c>
      <c r="H67" s="90">
        <v>7.9997187173177098</v>
      </c>
      <c r="I67" s="90">
        <v>-3558274.5554573471</v>
      </c>
      <c r="J67" s="164">
        <v>-13.27125702675562</v>
      </c>
      <c r="K67" s="149">
        <v>9224</v>
      </c>
      <c r="L67" s="90">
        <v>11624.149067426144</v>
      </c>
      <c r="M67" s="90">
        <v>856096.21943370998</v>
      </c>
      <c r="N67" s="90">
        <v>7.9999985790486363</v>
      </c>
      <c r="O67" s="90">
        <v>-61.167783161620719</v>
      </c>
      <c r="P67" s="160">
        <v>-10.539675893587079</v>
      </c>
      <c r="R67" s="108"/>
    </row>
    <row r="68" spans="1:18">
      <c r="A68" s="104" t="s">
        <v>139</v>
      </c>
      <c r="B68" s="102" t="s">
        <v>141</v>
      </c>
      <c r="C68" s="102">
        <f t="shared" ref="C68:C71" si="10">C67</f>
        <v>52</v>
      </c>
      <c r="D68" s="103">
        <v>250000</v>
      </c>
      <c r="E68" s="149">
        <v>16576</v>
      </c>
      <c r="F68" s="92">
        <v>1161.1583984894428</v>
      </c>
      <c r="G68" s="90">
        <v>12328614.154439859</v>
      </c>
      <c r="H68" s="90">
        <v>7.9998048668532276</v>
      </c>
      <c r="I68" s="90">
        <v>3962513.0017580204</v>
      </c>
      <c r="J68" s="164">
        <v>7.3786807029580705</v>
      </c>
      <c r="K68" s="149">
        <v>10032</v>
      </c>
      <c r="L68" s="90">
        <v>29060.372688407981</v>
      </c>
      <c r="M68" s="90">
        <v>2327720.6119176149</v>
      </c>
      <c r="N68" s="90">
        <v>7.999999222252379</v>
      </c>
      <c r="O68" s="90">
        <v>6233761.439946115</v>
      </c>
      <c r="P68" s="160">
        <v>58.224451338284048</v>
      </c>
      <c r="R68" s="108"/>
    </row>
    <row r="69" spans="1:18">
      <c r="A69" s="104" t="s">
        <v>139</v>
      </c>
      <c r="B69" s="102" t="s">
        <v>141</v>
      </c>
      <c r="C69" s="102">
        <f t="shared" si="10"/>
        <v>52</v>
      </c>
      <c r="D69" s="103">
        <v>500000</v>
      </c>
      <c r="E69" s="149">
        <v>16605</v>
      </c>
      <c r="F69" s="92">
        <v>2322.3143058175165</v>
      </c>
      <c r="G69" s="90">
        <v>24700074.069549322</v>
      </c>
      <c r="H69" s="90">
        <v>7.9997187187392473</v>
      </c>
      <c r="I69" s="90">
        <v>30606534.4868825</v>
      </c>
      <c r="J69" s="164">
        <v>19.768767939744443</v>
      </c>
      <c r="K69" s="149">
        <v>10079</v>
      </c>
      <c r="L69" s="90">
        <v>58120.74533713072</v>
      </c>
      <c r="M69" s="90">
        <v>4677251.6238467097</v>
      </c>
      <c r="N69" s="90">
        <v>7.9999985790486798</v>
      </c>
      <c r="O69" s="90">
        <v>28960201.599589735</v>
      </c>
      <c r="P69" s="160">
        <v>99.482930320694692</v>
      </c>
      <c r="R69" s="108"/>
    </row>
    <row r="70" spans="1:18">
      <c r="A70" s="104" t="s">
        <v>139</v>
      </c>
      <c r="B70" s="102" t="s">
        <v>141</v>
      </c>
      <c r="C70" s="102">
        <f t="shared" si="10"/>
        <v>52</v>
      </c>
      <c r="D70" s="103">
        <v>1000000</v>
      </c>
      <c r="E70" s="149">
        <v>14972</v>
      </c>
      <c r="F70" s="92">
        <v>4644.6286112611651</v>
      </c>
      <c r="G70" s="90">
        <v>44541946.237962842</v>
      </c>
      <c r="H70" s="90">
        <v>7.9997187122747766</v>
      </c>
      <c r="I70" s="90">
        <v>74130594.742780477</v>
      </c>
      <c r="J70" s="164">
        <v>23.898698922547119</v>
      </c>
      <c r="K70" s="149">
        <v>10144</v>
      </c>
      <c r="L70" s="90">
        <v>116241.49067426144</v>
      </c>
      <c r="M70" s="90">
        <v>9414830.9301123619</v>
      </c>
      <c r="N70" s="90">
        <v>7.9999985790487163</v>
      </c>
      <c r="O70" s="90">
        <v>66236368.273645639</v>
      </c>
      <c r="P70" s="160">
        <v>113.23575587384612</v>
      </c>
      <c r="R70" s="108"/>
    </row>
    <row r="71" spans="1:18">
      <c r="A71" s="104" t="s">
        <v>139</v>
      </c>
      <c r="B71" s="102" t="s">
        <v>141</v>
      </c>
      <c r="C71" s="102">
        <f t="shared" si="10"/>
        <v>52</v>
      </c>
      <c r="D71" s="103">
        <v>2000000</v>
      </c>
      <c r="E71" s="149">
        <v>13893</v>
      </c>
      <c r="F71" s="92">
        <v>9289.2572225222739</v>
      </c>
      <c r="G71" s="90">
        <v>82663806.984234035</v>
      </c>
      <c r="H71" s="90">
        <v>7.9997187122742854</v>
      </c>
      <c r="I71" s="90">
        <v>145231479.9409878</v>
      </c>
      <c r="J71" s="164">
        <v>25.963701194794513</v>
      </c>
      <c r="K71" s="149">
        <v>9708</v>
      </c>
      <c r="L71" s="90">
        <v>232482.98134852285</v>
      </c>
      <c r="M71" s="90">
        <v>18020342.79761982</v>
      </c>
      <c r="N71" s="90">
        <v>7.9999985790484507</v>
      </c>
      <c r="O71" s="90">
        <v>141423548.17978132</v>
      </c>
      <c r="P71" s="160">
        <v>120.11216894079172</v>
      </c>
      <c r="R71" s="108"/>
    </row>
    <row r="72" spans="1:18">
      <c r="A72" s="104" t="s">
        <v>139</v>
      </c>
      <c r="B72" s="102" t="s">
        <v>141</v>
      </c>
      <c r="C72" s="102">
        <v>62</v>
      </c>
      <c r="D72" s="103">
        <v>50000</v>
      </c>
      <c r="E72" s="144">
        <v>1</v>
      </c>
      <c r="F72" s="150">
        <v>533.25277439253557</v>
      </c>
      <c r="G72" s="110">
        <v>334.93633017296679</v>
      </c>
      <c r="H72" s="110">
        <v>8.0002265946291224</v>
      </c>
      <c r="I72" s="110">
        <v>280248339.45654786</v>
      </c>
      <c r="J72" s="165">
        <v>26.996202333511988</v>
      </c>
      <c r="K72" s="142">
        <v>1</v>
      </c>
      <c r="L72" s="110">
        <v>8989.7135713084535</v>
      </c>
      <c r="M72" s="110">
        <v>71.658161908245347</v>
      </c>
      <c r="N72" s="110">
        <v>8.0000087629568188</v>
      </c>
      <c r="O72" s="110">
        <v>278438517.052279</v>
      </c>
      <c r="P72" s="159">
        <v>123.55037547426413</v>
      </c>
      <c r="R72" s="108"/>
    </row>
    <row r="73" spans="1:18">
      <c r="A73" s="104" t="s">
        <v>139</v>
      </c>
      <c r="B73" s="102" t="s">
        <v>141</v>
      </c>
      <c r="C73" s="102">
        <f>C72</f>
        <v>62</v>
      </c>
      <c r="D73" s="103">
        <v>100000</v>
      </c>
      <c r="E73" s="142">
        <v>1</v>
      </c>
      <c r="F73" s="150">
        <v>1066.498797147515</v>
      </c>
      <c r="G73" s="110">
        <v>669.82595557179161</v>
      </c>
      <c r="H73" s="110">
        <v>7.9997194470307038</v>
      </c>
      <c r="I73" s="110">
        <v>406.45517786004484</v>
      </c>
      <c r="J73" s="165">
        <v>9.6175060651238535</v>
      </c>
      <c r="K73" s="149">
        <v>9494</v>
      </c>
      <c r="L73" s="90">
        <v>17979.426948242359</v>
      </c>
      <c r="M73" s="90">
        <v>1360643.4315201938</v>
      </c>
      <c r="N73" s="90">
        <v>7.9999985790490307</v>
      </c>
      <c r="O73" s="90">
        <v>334.45318973206759</v>
      </c>
      <c r="P73" s="160">
        <v>37.304991452132086</v>
      </c>
      <c r="R73" s="108"/>
    </row>
    <row r="74" spans="1:18">
      <c r="A74" s="104" t="s">
        <v>139</v>
      </c>
      <c r="B74" s="102" t="s">
        <v>141</v>
      </c>
      <c r="C74" s="102">
        <f t="shared" ref="C74:C77" si="11">C73</f>
        <v>62</v>
      </c>
      <c r="D74" s="103">
        <v>250000</v>
      </c>
      <c r="E74" s="142">
        <v>1</v>
      </c>
      <c r="F74" s="150">
        <v>2666.2498519170222</v>
      </c>
      <c r="G74" s="110">
        <v>1674.584666531719</v>
      </c>
      <c r="H74" s="110">
        <v>7.9998053501650599</v>
      </c>
      <c r="I74" s="110">
        <v>1580.2740091099465</v>
      </c>
      <c r="J74" s="165">
        <v>18.696269490740949</v>
      </c>
      <c r="K74" s="149">
        <v>9911</v>
      </c>
      <c r="L74" s="90">
        <v>44948.567401297063</v>
      </c>
      <c r="M74" s="90">
        <v>3551015.9424983859</v>
      </c>
      <c r="N74" s="90">
        <v>7.9999992222526286</v>
      </c>
      <c r="O74" s="90">
        <v>13881866.848472014</v>
      </c>
      <c r="P74" s="160">
        <v>81.545548573202183</v>
      </c>
      <c r="R74" s="108"/>
    </row>
    <row r="75" spans="1:18">
      <c r="A75" s="104" t="s">
        <v>139</v>
      </c>
      <c r="B75" s="102" t="s">
        <v>141</v>
      </c>
      <c r="C75" s="102">
        <f t="shared" si="11"/>
        <v>62</v>
      </c>
      <c r="D75" s="103">
        <v>500000</v>
      </c>
      <c r="E75" s="142">
        <v>1</v>
      </c>
      <c r="F75" s="150">
        <v>5332.4939836336116</v>
      </c>
      <c r="G75" s="110">
        <v>3349.129763304687</v>
      </c>
      <c r="H75" s="110">
        <v>7.9997194154227538</v>
      </c>
      <c r="I75" s="110">
        <v>5101.8212849980191</v>
      </c>
      <c r="J75" s="165">
        <v>24.143894743737874</v>
      </c>
      <c r="K75" s="149">
        <v>9793</v>
      </c>
      <c r="L75" s="90">
        <v>89897.134741211732</v>
      </c>
      <c r="M75" s="90">
        <v>7017474.786642313</v>
      </c>
      <c r="N75" s="90">
        <v>7.9999985790485342</v>
      </c>
      <c r="O75" s="90">
        <v>48022077.658665836</v>
      </c>
      <c r="P75" s="160">
        <v>108.08988934096139</v>
      </c>
      <c r="R75" s="108"/>
    </row>
    <row r="76" spans="1:18">
      <c r="A76" s="104" t="s">
        <v>139</v>
      </c>
      <c r="B76" s="102" t="s">
        <v>141</v>
      </c>
      <c r="C76" s="102">
        <f t="shared" si="11"/>
        <v>62</v>
      </c>
      <c r="D76" s="103">
        <v>1000000</v>
      </c>
      <c r="E76" s="142">
        <v>1</v>
      </c>
      <c r="F76" s="150">
        <v>10664.987966408748</v>
      </c>
      <c r="G76" s="110">
        <v>6698.2595206708193</v>
      </c>
      <c r="H76" s="110">
        <v>7.9997194089742871</v>
      </c>
      <c r="I76" s="110">
        <v>10971.013433645378</v>
      </c>
      <c r="J76" s="165">
        <v>25.959678212822173</v>
      </c>
      <c r="K76" s="149">
        <v>9767</v>
      </c>
      <c r="L76" s="90">
        <v>179794.26948242346</v>
      </c>
      <c r="M76" s="90">
        <v>13997687.376929045</v>
      </c>
      <c r="N76" s="90">
        <v>7.9999985790482535</v>
      </c>
      <c r="O76" s="90">
        <v>102669114.67240536</v>
      </c>
      <c r="P76" s="160">
        <v>116.93800216373188</v>
      </c>
      <c r="R76" s="108"/>
    </row>
    <row r="77" spans="1:18">
      <c r="A77" s="105" t="s">
        <v>139</v>
      </c>
      <c r="B77" s="106" t="s">
        <v>141</v>
      </c>
      <c r="C77" s="106">
        <f t="shared" si="11"/>
        <v>62</v>
      </c>
      <c r="D77" s="107">
        <v>2000000</v>
      </c>
      <c r="E77" s="146">
        <v>1</v>
      </c>
      <c r="F77" s="155">
        <v>21329.975932817371</v>
      </c>
      <c r="G77" s="147">
        <v>13396.519041340802</v>
      </c>
      <c r="H77" s="147">
        <v>7.9997194089738333</v>
      </c>
      <c r="I77" s="147">
        <v>22709.437711990431</v>
      </c>
      <c r="J77" s="166">
        <v>26.867604301573135</v>
      </c>
      <c r="K77" s="157">
        <v>9731</v>
      </c>
      <c r="L77" s="145">
        <v>359588.53896484687</v>
      </c>
      <c r="M77" s="145">
        <v>27892187.133183479</v>
      </c>
      <c r="N77" s="145">
        <v>7.9999985790485502</v>
      </c>
      <c r="O77" s="145">
        <v>212540898.21155024</v>
      </c>
      <c r="P77" s="161">
        <v>121.36205886254821</v>
      </c>
      <c r="R77" s="108"/>
    </row>
    <row r="79" spans="1:18">
      <c r="A79" s="118" t="s">
        <v>177</v>
      </c>
      <c r="B79" s="118"/>
      <c r="C79" s="118"/>
      <c r="D79" s="118"/>
      <c r="E79" s="118"/>
      <c r="F79" s="118"/>
      <c r="G79" s="187">
        <f>SUM(G6:G23,G30:G47,G54:G71)</f>
        <v>1096892720.835537</v>
      </c>
      <c r="H79" s="168">
        <f>(SUMPRODUCT($E$6:$E$23,H6:H23)+SUMPRODUCT($E30:$E47,H30:H47)+SUMPRODUCT($E$54:$E$71,H54:H71))/SUM($E$6:$E$23,$E$30:$E$47,$E$54:$E$71)/100</f>
        <v>7.99979495677378E-2</v>
      </c>
      <c r="I79" s="187">
        <f>SUM(I6:I23,I30:I47,I54:I71)</f>
        <v>2515857141.9705505</v>
      </c>
      <c r="J79" s="168">
        <f>(SUMPRODUCT($E$6:$E$23,J6:J23)+SUMPRODUCT($E30:$E47,J30:J47)+SUMPRODUCT($E$54:$E$71,J54:J71))/SUM($E$6:$E$23,$E$30:$E$47,$E$54:$E$71)/100</f>
        <v>5.6109313620601925E-2</v>
      </c>
      <c r="K79" s="118"/>
      <c r="L79" s="118"/>
      <c r="M79" s="187">
        <f>SUM(M13:M17,M19:M23,M25:M29,M37:M41,M43:M47,M49:M53,M61:M65,M67:M71,M73:M77)</f>
        <v>320091403.84899867</v>
      </c>
      <c r="N79" s="168">
        <f>SUM(SUMPRODUCT($K$13:$K$17,N13:N17),SUMPRODUCT($K$19:$K$23,N19:N23), SUMPRODUCT($K$25:$K$29,N25:N29), SUMPRODUCT($K$37:$K$41,N37:N41),SUMPRODUCT($K$43:$K$47,N43:N47),SUMPRODUCT($K$49:$K$53,N49:N53),SUMPRODUCT($K$61:$K$65,N61:N65),SUMPRODUCT($K$67:$K$71,N67:N71),SUMPRODUCT($K$73:$K$77,N73:N77))/SUM($K$13:$K$17,$K$19:$K$23,$K$25:$K$29,$K$37:$K$41,$K$43:$K$47,$K$49:$K$53,$K$61:$K$65,$K$67:$K$71,$K$73:$K$77)/100</f>
        <v>7.9999987114234075E-2</v>
      </c>
      <c r="O79" s="187">
        <f>SUM(O13:O17,O19:O23,O25:O29,O37:O41,O43:O47,O49:O53,O61:O65,O67:O71,O73:O77)</f>
        <v>2511137839.2851748</v>
      </c>
      <c r="P79" s="168">
        <f>SUM(SUMPRODUCT($K$13:$K$17,P13:P17),SUMPRODUCT($K$19:$K$23,P19:P23), SUMPRODUCT($K$25:$K$29,P25:P29), SUMPRODUCT($K$37:$K$41,P37:P41),SUMPRODUCT($K$43:$K$47,P43:P47),SUMPRODUCT($K$49:$K$53,P49:P53),SUMPRODUCT($K$61:$K$65,P61:P65),SUMPRODUCT($K$67:$K$71,P67:P71),SUMPRODUCT($K$73:$K$77,P73:P77))/SUM($K$13:$K$17,$K$19:$K$23,$K$25:$K$29,$K$37:$K$41,$K$43:$K$47,$K$49:$K$53,$K$61:$K$65,$K$67:$K$71,$K$73:$K$77)/100</f>
        <v>0.83432789416465669</v>
      </c>
    </row>
    <row r="80" spans="1:18">
      <c r="J80" s="148"/>
      <c r="P80" s="162"/>
    </row>
    <row r="81" spans="1:4">
      <c r="A81" t="s">
        <v>178</v>
      </c>
      <c r="C81" s="168">
        <f>SUM(SUMPRODUCT(E6:E23,H6:H23),SUMPRODUCT(E30:E47,H30:H47),SUMPRODUCT(E54:E71,H54:H71),SUMPRODUCT(K13:K17,N13:N17),SUMPRODUCT(K19:K23,N19:N23), SUMPRODUCT(K25:K29,N25:N29), SUMPRODUCT(K37:K41,N37:N41),SUMPRODUCT(K43:K47,N43:N47),SUMPRODUCT(K49:K53,N49:N53),SUMPRODUCT(K61:K65,N61:N65),SUMPRODUCT(K67:K71,N67:N71),SUMPRODUCT(K73:K77,N73:N77))/SUM(E6:E23,E30:E47,E54:E71,K13:K17,K19:K23,K25:K29,K37:K41,K43:K47,K49:K53,K61:K65,K67:K71,K73:K77)/100</f>
        <v>7.9998722431926531E-2</v>
      </c>
    </row>
    <row r="82" spans="1:4">
      <c r="A82" t="s">
        <v>179</v>
      </c>
      <c r="C82" s="168">
        <f>SUM(SUMPRODUCT(E6:E23,J6:J23),SUMPRODUCT(E30:E47,J30:J47),SUMPRODUCT(E54:E71,J54:J71),SUMPRODUCT(K13:K17,P13:P17),SUMPRODUCT(K19:K23,P19:P23), SUMPRODUCT(K25:K29,P25:P29), SUMPRODUCT(K37:K41,P37:P41),SUMPRODUCT(K43:K47,P43:P47),SUMPRODUCT(K49:K53,P49:P53),SUMPRODUCT(K61:K65,P61:P65),SUMPRODUCT(K67:K71,P67:P71),SUMPRODUCT(K73:K77,P73:P77))/SUM(E6:E23,E30:E47,E54:E71,K13:K17,K19:K23,K25:K29,K37:K41,K43:K47,K49:K53,K61:K65,K67:K71,K73:K77)/100</f>
        <v>0.35129633045971304</v>
      </c>
    </row>
    <row r="84" spans="1:4">
      <c r="C84" s="199" t="s">
        <v>180</v>
      </c>
      <c r="D84" s="199" t="s">
        <v>181</v>
      </c>
    </row>
    <row r="85" spans="1:4">
      <c r="A85" s="118" t="s">
        <v>182</v>
      </c>
      <c r="C85" s="108">
        <f>SUM(E6:E23,K13:K17,K19:K23,K25:K29)</f>
        <v>61440</v>
      </c>
      <c r="D85" s="113">
        <f>C85/$C$87</f>
        <v>6.2838405884554888E-2</v>
      </c>
    </row>
    <row r="86" spans="1:4">
      <c r="A86" s="118" t="s">
        <v>183</v>
      </c>
      <c r="C86" s="108">
        <f>SUM(E30:E47,E54:E71,K37:K41,K43:K47,K49:K53,K61:K65,K67:K71,K73:K77)</f>
        <v>916306</v>
      </c>
      <c r="D86" s="113">
        <f t="shared" ref="D86:D87" si="12">C86/$C$87</f>
        <v>0.93716159411544508</v>
      </c>
    </row>
    <row r="87" spans="1:4">
      <c r="A87" s="118" t="s">
        <v>46</v>
      </c>
      <c r="C87" s="108">
        <f>SUM(C85:C86)</f>
        <v>977746</v>
      </c>
      <c r="D87" s="112">
        <f t="shared" si="12"/>
        <v>1</v>
      </c>
    </row>
  </sheetData>
  <mergeCells count="3">
    <mergeCell ref="A4:D4"/>
    <mergeCell ref="A1:XFD1"/>
    <mergeCell ref="E4:J4"/>
  </mergeCells>
  <phoneticPr fontId="19" type="noConversion"/>
  <hyperlinks>
    <hyperlink ref="A1" location="'Table of Contents'!A1" display="Table of Contents" xr:uid="{9AE9C76A-3AC7-324A-B42A-5B482327890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aeb9515-ace2-4e0d-913e-d89f25f6e1ae" xsi:nil="true"/>
    <lcf76f155ced4ddcb4097134ff3c332f xmlns="cb0b7b33-6299-4680-b2fe-56d6387586ad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F92DC370CB3E46A03DA9CD42D4BD47" ma:contentTypeVersion="11" ma:contentTypeDescription="Create a new document." ma:contentTypeScope="" ma:versionID="69a3ff0a1db4f4e8c91765b80a3fb5bb">
  <xsd:schema xmlns:xsd="http://www.w3.org/2001/XMLSchema" xmlns:xs="http://www.w3.org/2001/XMLSchema" xmlns:p="http://schemas.microsoft.com/office/2006/metadata/properties" xmlns:ns2="cb0b7b33-6299-4680-b2fe-56d6387586ad" xmlns:ns3="2aeb9515-ace2-4e0d-913e-d89f25f6e1ae" targetNamespace="http://schemas.microsoft.com/office/2006/metadata/properties" ma:root="true" ma:fieldsID="0389a3352ef89d4109a48342c3765ccd" ns2:_="" ns3:_="">
    <xsd:import namespace="cb0b7b33-6299-4680-b2fe-56d6387586ad"/>
    <xsd:import namespace="2aeb9515-ace2-4e0d-913e-d89f25f6e1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0b7b33-6299-4680-b2fe-56d6387586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b026aac-6b52-4d7e-a64d-f3ee90946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eb9515-ace2-4e0d-913e-d89f25f6e1a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936afd7-58d6-4e85-ba7e-f0702cc89aa3}" ma:internalName="TaxCatchAll" ma:showField="CatchAllData" ma:web="2aeb9515-ace2-4e0d-913e-d89f25f6e1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600B55-F078-4C0E-879F-AE7618CB5CF1}">
  <ds:schemaRefs>
    <ds:schemaRef ds:uri="http://schemas.microsoft.com/office/2006/metadata/properties"/>
    <ds:schemaRef ds:uri="http://schemas.microsoft.com/office/infopath/2007/PartnerControls"/>
    <ds:schemaRef ds:uri="2aeb9515-ace2-4e0d-913e-d89f25f6e1ae"/>
    <ds:schemaRef ds:uri="cb0b7b33-6299-4680-b2fe-56d6387586ad"/>
  </ds:schemaRefs>
</ds:datastoreItem>
</file>

<file path=customXml/itemProps2.xml><?xml version="1.0" encoding="utf-8"?>
<ds:datastoreItem xmlns:ds="http://schemas.openxmlformats.org/officeDocument/2006/customXml" ds:itemID="{B98F1285-92C6-4CC2-9B39-7D4F337605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0b7b33-6299-4680-b2fe-56d6387586ad"/>
    <ds:schemaRef ds:uri="2aeb9515-ace2-4e0d-913e-d89f25f6e1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53920-88A4-4C8E-A227-985843B1359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Table of Contents</vt:lpstr>
      <vt:lpstr>Inputs &amp; Results</vt:lpstr>
      <vt:lpstr>Sensitivity</vt:lpstr>
      <vt:lpstr>Interest Rates</vt:lpstr>
      <vt:lpstr>Mortality Rates</vt:lpstr>
      <vt:lpstr>Lapse Rates</vt:lpstr>
      <vt:lpstr>T20</vt:lpstr>
      <vt:lpstr>SPWL</vt:lpstr>
      <vt:lpstr>Premiums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Melissa Renard</dc:creator>
  <cp:keywords/>
  <dc:description/>
  <cp:lastModifiedBy>Melissa Renard</cp:lastModifiedBy>
  <cp:revision/>
  <dcterms:created xsi:type="dcterms:W3CDTF">2024-03-05T05:40:23Z</dcterms:created>
  <dcterms:modified xsi:type="dcterms:W3CDTF">2024-03-22T09:17:15Z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0x010100FCF92DC370CB3E46A03DA9CD42D4BD47</vt:lpwstr>
  </property>
  <property fmtid="{D5CDD505-2E9C-101B-9397-08002B2CF9AE}" pid="3" name="MediaServiceImageTags">
    <vt:lpwstr/>
  </property>
</Properties>
</file>